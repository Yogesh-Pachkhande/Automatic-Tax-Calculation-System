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5760" yWindow="3360" windowWidth="17280" windowHeight="8880" tabRatio="804"/>
  </bookViews>
  <sheets>
    <sheet name="Form" sheetId="1" r:id="rId1"/>
    <sheet name="Datasheet" sheetId="2" r:id="rId2"/>
    <sheet name="TAX Log" sheetId="9" r:id="rId3"/>
    <sheet name="QR" sheetId="11" r:id="rId4"/>
    <sheet name="Master" sheetId="3" r:id="rId5"/>
    <sheet name="Tax Type" sheetId="16" r:id="rId6"/>
    <sheet name="Tax Type 2" sheetId="17" r:id="rId7"/>
  </sheets>
  <functionGroups builtInGroupCount="17"/>
  <externalReferences>
    <externalReference r:id="rId8"/>
  </externalReferences>
  <definedNames>
    <definedName name="_xlnm._FilterDatabase" localSheetId="1" hidden="1">Datasheet!$E$1:$E$444</definedName>
    <definedName name="_xlnm._FilterDatabase" localSheetId="3" hidden="1">QR!$L$1:$L$618</definedName>
    <definedName name="_xlnm._FilterDatabase" localSheetId="2" hidden="1">'TAX Log'!$L$2:$L$2536</definedName>
    <definedName name="_xleta.IF" hidden="1" xlm="1">#NAME?</definedName>
    <definedName name="_xleta.IFERROR" hidden="1" xlm="1">#NAME?</definedName>
    <definedName name="_xleta.INDEX" hidden="1" xlm="1">#NAME?</definedName>
    <definedName name="_xleta.MATCH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_xleta.VLOOKUP" hidden="1" xlm="1">#NAME?</definedName>
    <definedName name="_xlpm.allowed" hidden="1" xlm="1">#NAME?</definedName>
    <definedName name="_xlpm.htype" hidden="1" xlm="1">#NAME?</definedName>
    <definedName name="_xlpm.isAllowed" hidden="1" xlm="1">#NAME?</definedName>
    <definedName name="_xlpm.result" hidden="1" xlm="1">#NAME?</definedName>
    <definedName name="_xlpm.yearNum" hidden="1" xlm="1">#NAME?</definedName>
    <definedName name="_xlpm.yearRaw" hidden="1" xlm="1">#NAME?</definedName>
    <definedName name="Anu">#REF!</definedName>
    <definedName name="ds">#REF!</definedName>
    <definedName name="NAME">Form!$F$11</definedName>
    <definedName name="_xlnm.Print_Area" localSheetId="1">Datasheet!$A$2:$P$223</definedName>
    <definedName name="_xlnm.Print_Area" localSheetId="0">Form!$A$1:$AD$35</definedName>
    <definedName name="_xlnm.Print_Area" localSheetId="5">'Tax Type'!$A$1:$J$29</definedName>
    <definedName name="_xlnm.Print_Area" localSheetId="6">'Tax Type 2'!$A$1:$Q$24</definedName>
    <definedName name="_xlnm.Print_Titles" localSheetId="1">Datasheet!$1:$1</definedName>
    <definedName name="SR">Form!$A$12</definedName>
    <definedName name="TYPE">[1]MATSER!$A$3:$A$7</definedName>
    <definedName name="YOGESH">Form!$I$35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3" l="1"/>
  <c r="K12" i="1"/>
  <c r="F11" i="1"/>
  <c r="E12" i="1"/>
  <c r="D12" i="1" l="1"/>
  <c r="O7" i="3"/>
  <c r="A570" i="11"/>
  <c r="B570" i="11"/>
  <c r="A571" i="11"/>
  <c r="B571" i="11"/>
  <c r="A572" i="11"/>
  <c r="B572" i="11"/>
  <c r="A573" i="11"/>
  <c r="B573" i="11"/>
  <c r="A574" i="11"/>
  <c r="B574" i="11"/>
  <c r="A575" i="11"/>
  <c r="B575" i="11"/>
  <c r="A576" i="11"/>
  <c r="B576" i="11"/>
  <c r="A577" i="11"/>
  <c r="B577" i="11"/>
  <c r="A578" i="11"/>
  <c r="B578" i="11"/>
  <c r="A579" i="11"/>
  <c r="B579" i="11"/>
  <c r="A580" i="11"/>
  <c r="B580" i="11"/>
  <c r="A581" i="11"/>
  <c r="B581" i="11"/>
  <c r="A582" i="11"/>
  <c r="B582" i="11"/>
  <c r="A583" i="11"/>
  <c r="B583" i="11"/>
  <c r="A584" i="11"/>
  <c r="B584" i="11"/>
  <c r="A585" i="11"/>
  <c r="B585" i="11"/>
  <c r="A586" i="11"/>
  <c r="B586" i="11"/>
  <c r="A587" i="11"/>
  <c r="B587" i="11"/>
  <c r="A588" i="11"/>
  <c r="B588" i="11"/>
  <c r="A589" i="11"/>
  <c r="B589" i="11"/>
  <c r="A590" i="11"/>
  <c r="B590" i="11"/>
  <c r="A591" i="11"/>
  <c r="B591" i="11"/>
  <c r="A592" i="11"/>
  <c r="B592" i="11"/>
  <c r="A593" i="11"/>
  <c r="B593" i="11"/>
  <c r="A594" i="11"/>
  <c r="B594" i="11"/>
  <c r="A595" i="11"/>
  <c r="B595" i="11"/>
  <c r="A596" i="11"/>
  <c r="B596" i="11"/>
  <c r="A597" i="11"/>
  <c r="B597" i="11"/>
  <c r="A598" i="11"/>
  <c r="B598" i="11"/>
  <c r="A599" i="11"/>
  <c r="B599" i="11"/>
  <c r="A600" i="11"/>
  <c r="B600" i="11"/>
  <c r="A601" i="11"/>
  <c r="B601" i="11"/>
  <c r="A602" i="11"/>
  <c r="B602" i="11"/>
  <c r="A603" i="11"/>
  <c r="B603" i="11"/>
  <c r="A604" i="11"/>
  <c r="B604" i="11"/>
  <c r="A605" i="11"/>
  <c r="B605" i="11"/>
  <c r="A606" i="11"/>
  <c r="B606" i="11"/>
  <c r="A607" i="11"/>
  <c r="B607" i="11"/>
  <c r="A608" i="11"/>
  <c r="B608" i="11"/>
  <c r="A609" i="11"/>
  <c r="B609" i="11"/>
  <c r="A610" i="11"/>
  <c r="B610" i="11"/>
  <c r="A30" i="1" l="1"/>
  <c r="I15" i="16" l="1"/>
  <c r="J15" i="16" s="1"/>
  <c r="I16" i="16"/>
  <c r="J16" i="16" s="1"/>
  <c r="I14" i="16"/>
  <c r="J14" i="16" s="1"/>
  <c r="D14" i="16"/>
  <c r="D17" i="16" s="1"/>
  <c r="C15" i="16"/>
  <c r="C16" i="16"/>
  <c r="C17" i="16"/>
  <c r="C14" i="16"/>
  <c r="B6" i="16"/>
  <c r="H3" i="16"/>
  <c r="D3" i="16"/>
  <c r="B3" i="16"/>
  <c r="G17" i="17"/>
  <c r="G14" i="17"/>
  <c r="G13" i="17"/>
  <c r="G12" i="17"/>
  <c r="G11" i="17"/>
  <c r="B4" i="17"/>
  <c r="O2" i="17"/>
  <c r="H2" i="17"/>
  <c r="B2" i="17"/>
  <c r="D15" i="16" l="1"/>
  <c r="A24" i="16"/>
  <c r="D16" i="16"/>
  <c r="D2" i="1" l="1"/>
  <c r="AD13" i="1"/>
  <c r="AD12" i="1" s="1"/>
  <c r="K14" i="1"/>
  <c r="K13" i="1"/>
  <c r="P12" i="1"/>
  <c r="R12" i="1"/>
  <c r="D3" i="1"/>
  <c r="S29" i="1" l="1"/>
  <c r="N29" i="1"/>
  <c r="J29" i="1"/>
  <c r="F16" i="1"/>
  <c r="F29" i="1"/>
  <c r="Q15" i="1"/>
  <c r="AA14" i="1" l="1"/>
  <c r="R14" i="1" s="1"/>
  <c r="AA13" i="1"/>
  <c r="R13" i="1" s="1"/>
  <c r="Y14" i="1"/>
  <c r="P14" i="1" s="1"/>
  <c r="Y13" i="1"/>
  <c r="P13" i="1" s="1"/>
  <c r="S12" i="1"/>
  <c r="O14" i="1"/>
  <c r="AC14" i="1" s="1"/>
  <c r="O13" i="1"/>
  <c r="AC13" i="1" s="1"/>
  <c r="O12" i="1"/>
  <c r="W14" i="1"/>
  <c r="I11" i="1"/>
  <c r="Q11" i="1"/>
  <c r="I35" i="1"/>
  <c r="AA12" i="1"/>
  <c r="Y12" i="1"/>
  <c r="Z15" i="1"/>
  <c r="T13" i="1"/>
  <c r="T14" i="1"/>
  <c r="T15" i="1"/>
  <c r="K5" i="1"/>
  <c r="H5" i="1"/>
  <c r="D5" i="1"/>
  <c r="D4" i="1"/>
  <c r="B12" i="1"/>
  <c r="AC12" i="1" l="1"/>
  <c r="W12" i="1"/>
  <c r="X12" i="1" s="1"/>
  <c r="Q14" i="1"/>
  <c r="Q13" i="1"/>
  <c r="AF4" i="1"/>
  <c r="W16" i="1" s="1"/>
  <c r="W17" i="1" s="1"/>
  <c r="AF5" i="1"/>
  <c r="P16" i="1" s="1"/>
  <c r="Q12" i="1"/>
  <c r="Z12" i="1"/>
  <c r="C22" i="1"/>
  <c r="C23" i="1"/>
  <c r="W13" i="1"/>
  <c r="X13" i="1" s="1"/>
  <c r="AG2" i="1"/>
  <c r="AG3" i="1"/>
  <c r="AI1" i="1"/>
  <c r="AI2" i="1"/>
  <c r="AI3" i="1"/>
  <c r="AF1" i="1"/>
  <c r="AF2" i="1"/>
  <c r="AF3" i="1"/>
  <c r="X14" i="1"/>
  <c r="Z14" i="1"/>
  <c r="Z13" i="1"/>
  <c r="F21" i="1" l="1"/>
  <c r="F27" i="1" s="1"/>
  <c r="E21" i="1"/>
  <c r="E27" i="1" s="1"/>
  <c r="G27" i="1"/>
  <c r="A22" i="1"/>
  <c r="AG1" i="1"/>
  <c r="A21" i="1" s="1"/>
  <c r="P17" i="1"/>
  <c r="S17" i="1" s="1"/>
  <c r="S16" i="1"/>
  <c r="AI4" i="1"/>
  <c r="A23" i="1"/>
  <c r="D22" i="1" l="1"/>
  <c r="J22" i="1" s="1"/>
  <c r="D23" i="1"/>
  <c r="J23" i="1" s="1"/>
  <c r="A24" i="1"/>
  <c r="U12" i="1"/>
  <c r="T12" i="1" s="1"/>
  <c r="D24" i="1" l="1"/>
  <c r="J24" i="1" s="1"/>
  <c r="C21" i="1"/>
  <c r="D21" i="1" s="1"/>
  <c r="A27" i="1"/>
  <c r="C24" i="1" l="1"/>
  <c r="J21" i="1"/>
  <c r="D27" i="1"/>
  <c r="J27" i="1" s="1"/>
</calcChain>
</file>

<file path=xl/sharedStrings.xml><?xml version="1.0" encoding="utf-8"?>
<sst xmlns="http://schemas.openxmlformats.org/spreadsheetml/2006/main" count="536" uniqueCount="326">
  <si>
    <t xml:space="preserve">मालमत्ता </t>
  </si>
  <si>
    <t>क्रमांक</t>
  </si>
  <si>
    <t>मालकाचे नाव</t>
  </si>
  <si>
    <t>भोगवटदाराचे</t>
  </si>
  <si>
    <t>नाव</t>
  </si>
  <si>
    <t>एकूण</t>
  </si>
  <si>
    <t xml:space="preserve"> क्षेत्रफळ</t>
  </si>
  <si>
    <t>चौ.फु.</t>
  </si>
  <si>
    <t>रेडीरेकनर दर</t>
  </si>
  <si>
    <t>प्रती चौ.मि.(रुपये)</t>
  </si>
  <si>
    <t>इमारत</t>
  </si>
  <si>
    <t>बांधकाम</t>
  </si>
  <si>
    <t>भांडवली मूल्य</t>
  </si>
  <si>
    <t>(रुपये)</t>
  </si>
  <si>
    <t>कराचे दर</t>
  </si>
  <si>
    <t>(पैसे)</t>
  </si>
  <si>
    <t>दिवाबत्ती</t>
  </si>
  <si>
    <t>आरोग्य कर</t>
  </si>
  <si>
    <t>पाणीपट्टी</t>
  </si>
  <si>
    <t xml:space="preserve">सफाई कर </t>
  </si>
  <si>
    <t xml:space="preserve">शौ.कर </t>
  </si>
  <si>
    <t>कराची रक्कम (रुपये)</t>
  </si>
  <si>
    <t>मोबाईल क्रमांक :</t>
  </si>
  <si>
    <t>पूर्व :</t>
  </si>
  <si>
    <t>पश्चिम:</t>
  </si>
  <si>
    <t>उत्तर:</t>
  </si>
  <si>
    <t>घरकुल :</t>
  </si>
  <si>
    <t>ग्रामपंचायत शिक्का</t>
  </si>
  <si>
    <t>सचिव/ग्रामविकास अधिकारी ग्रामपंचायत</t>
  </si>
  <si>
    <t xml:space="preserve">रस्त्याचे </t>
  </si>
  <si>
    <t>P   H   O   T   O</t>
  </si>
  <si>
    <t>अ.</t>
  </si>
  <si>
    <t>क्र.</t>
  </si>
  <si>
    <t>नमुना ८</t>
  </si>
  <si>
    <t>नियम ३२(१)</t>
  </si>
  <si>
    <t>सन</t>
  </si>
  <si>
    <t>ते</t>
  </si>
  <si>
    <t>या वर्षासाठी कर आकारणी नोंदवही</t>
  </si>
  <si>
    <t>चातुर्सिमा</t>
  </si>
  <si>
    <t>मिळकतबांधकामाचे वर्ष</t>
  </si>
  <si>
    <t>SR</t>
  </si>
  <si>
    <t>WITH</t>
  </si>
  <si>
    <t>PROPERT TYPE</t>
  </si>
  <si>
    <t xml:space="preserve">WEST </t>
  </si>
  <si>
    <t>NORTH</t>
  </si>
  <si>
    <t>SOUTH</t>
  </si>
  <si>
    <t>मालमत्तेचे वर्णन</t>
  </si>
  <si>
    <t>आर सी सी पहिला मजला</t>
  </si>
  <si>
    <t>TAX RATE</t>
  </si>
  <si>
    <t>REDIREKANAR RATE</t>
  </si>
  <si>
    <t>Ghasara Rate</t>
  </si>
  <si>
    <t>GRAMPANCHYAT</t>
  </si>
  <si>
    <t>GAON/MOHALLA</t>
  </si>
  <si>
    <t>TALUKA</t>
  </si>
  <si>
    <t>JILHA</t>
  </si>
  <si>
    <t>YEAR</t>
  </si>
  <si>
    <t>एकूण चौरस फुट</t>
  </si>
  <si>
    <t xml:space="preserve">एकूण चौरस मीटर </t>
  </si>
  <si>
    <t>चौ.मी.</t>
  </si>
  <si>
    <t>पु.प</t>
  </si>
  <si>
    <t>उ.द</t>
  </si>
  <si>
    <t>आरोग्य</t>
  </si>
  <si>
    <t>घरपट्टी</t>
  </si>
  <si>
    <t>पत्नीचे नाव</t>
  </si>
  <si>
    <t>ग्रामपंचायत                    :</t>
  </si>
  <si>
    <t>गाव /मोहल्ला                  :</t>
  </si>
  <si>
    <t>तालुका                          :</t>
  </si>
  <si>
    <t>जिल्हा                           :</t>
  </si>
  <si>
    <t xml:space="preserve">                पु.प   ×       उ.द</t>
  </si>
  <si>
    <t>आधार क्रमांक   :</t>
  </si>
  <si>
    <t>इमारतीचा वापरानुसार भारांक</t>
  </si>
  <si>
    <t>(टीप :- *सदर मालमत्ता आकारणी नक्कल केवळ ग्रामपंचायत कर आकारणी बाबत असून इतर कोणत्याही हक्काबाबत हा दस्त कायदेशीर पुरावा सांगत नाही. *नमूद मोजमापे तांत्रिक दृष्ट्या प्रमाणित तथा प्रमाण बद्ध केलेली नाहीत )</t>
  </si>
  <si>
    <t>QR - CODE</t>
  </si>
  <si>
    <t>खुली जमीन</t>
  </si>
  <si>
    <t xml:space="preserve">ग्रामपंचायत :- </t>
  </si>
  <si>
    <t>दगड,विटा,मातीचे कच्चे घर</t>
  </si>
  <si>
    <t>गवती/ झोपडी / मातीचे घर</t>
  </si>
  <si>
    <t>आर सी सी</t>
  </si>
  <si>
    <t xml:space="preserve">LENTH </t>
  </si>
  <si>
    <t>PROPERT YER</t>
  </si>
  <si>
    <t xml:space="preserve">EST </t>
  </si>
  <si>
    <t>सरपंच ग्रामपंचायत</t>
  </si>
  <si>
    <t>अपिलाचे निकाल आणि त्यानंतर केलेले फेरफार(रुपये) नंतर वाढ किवा घट झालेल्या बाबतीत अदेश्याच्या संदर्भात शेरा</t>
  </si>
  <si>
    <t>विटा सिमेंटचे अर्धे पक्के</t>
  </si>
  <si>
    <t>निवासी</t>
  </si>
  <si>
    <t>ओद्योगिक</t>
  </si>
  <si>
    <t>वाणिज्यिक</t>
  </si>
  <si>
    <t>गवती/ झोपडी / मातीचे घर  दगड,विटा,मातीचे कच्चे घर</t>
  </si>
  <si>
    <t>विटा सिमेंटचे अर्धे पक्के आर सी सी</t>
  </si>
  <si>
    <t>साल</t>
  </si>
  <si>
    <t>IF(H2="दगड,विटा,मातीचे कच्चे घर",2008,</t>
  </si>
  <si>
    <t>IF(H2="विटा सिमेंटचे अर्धे पक्के",2019,</t>
  </si>
  <si>
    <t>IF(H2="आर सी सी",2018,</t>
  </si>
  <si>
    <t>IF(H2="खाली जागा",0,"")))))</t>
  </si>
  <si>
    <t xml:space="preserve">खाली जागा </t>
  </si>
  <si>
    <t>2026-27</t>
  </si>
  <si>
    <t>2029-30</t>
  </si>
  <si>
    <t>सन 2026-27 ते 2029-30</t>
  </si>
  <si>
    <t>मालमत्ता वरील लावलेल्या कराच्या दराचा तक्ता</t>
  </si>
  <si>
    <t>ग्रामपंचायत कार्यालय :- सखी (खुर्द)</t>
  </si>
  <si>
    <t>समाविष्ट गाव :- झोटिंगधरा ( पोड )</t>
  </si>
  <si>
    <t xml:space="preserve">सदर ग्रामपंचायत नमुना ८ (असेसमेंट लिस्ट ) चे संगणीकृत अभिलेखात खलील दरानुसार आकारणी करून ,पतीसह पत्नीचे नाव नमुना ८ ला संयुक्त करून ,नमुना ८ </t>
  </si>
  <si>
    <t>चे संगणीकृत अभिलेख तयार करण्यात आलेले आहे.</t>
  </si>
  <si>
    <t>1  .बांधकामावरील कर</t>
  </si>
  <si>
    <t>3 .  विजकर व आरोगकर</t>
  </si>
  <si>
    <t>अ.क्र.</t>
  </si>
  <si>
    <t>बांधकामाचे क्षे.चौ.मी. मध्ये लावलेले दर</t>
  </si>
  <si>
    <t>शिल्लक जागेचे क्षे.चौ.मि.मध्ये लावलेले दर</t>
  </si>
  <si>
    <t>बांधकामाचे क्षेत्रफळ  (चौ.मी)</t>
  </si>
  <si>
    <t xml:space="preserve">विजकर </t>
  </si>
  <si>
    <t>आरोग्यकर</t>
  </si>
  <si>
    <t xml:space="preserve">गवती/ झोपडी / मातीचे घर </t>
  </si>
  <si>
    <t>०१  ते  ३०  चौ.मी पर्यंत</t>
  </si>
  <si>
    <t xml:space="preserve">दगड,विटा,मातीचे कच्चे घर </t>
  </si>
  <si>
    <t>३१  ते  ७०  चौ.मी पर्यंत</t>
  </si>
  <si>
    <t xml:space="preserve">विटा सिमेंट चे पक्के घर </t>
  </si>
  <si>
    <t>७१  ते १२०  चौ.मी पर्यंत</t>
  </si>
  <si>
    <t xml:space="preserve">आर सी सी </t>
  </si>
  <si>
    <t>मार्बल,ग्रेनाईट,अलिशान घर</t>
  </si>
  <si>
    <t>उधोग</t>
  </si>
  <si>
    <t>4.  पणीकर</t>
  </si>
  <si>
    <t>व्यवसाय</t>
  </si>
  <si>
    <t>अं.क.</t>
  </si>
  <si>
    <t>पणीकर</t>
  </si>
  <si>
    <t>दर</t>
  </si>
  <si>
    <t>सामान्य पणीकर</t>
  </si>
  <si>
    <t>2. खाली जागे (ओपन प्लॉट )वरील कर</t>
  </si>
  <si>
    <t>विशेष पणीकर</t>
  </si>
  <si>
    <t>खाली जागेचे क्षे.चौ.मी.लावलेले दर</t>
  </si>
  <si>
    <t>दिनांक             ग्रामपंचायत सिक्का</t>
  </si>
  <si>
    <t>सरपंच ग्रा.पं</t>
  </si>
  <si>
    <t>उपसरपंच ग्रा पं</t>
  </si>
  <si>
    <t>ग्रामसेवक ग्रा पं</t>
  </si>
  <si>
    <t>उप अभियंता /का. अभियंता</t>
  </si>
  <si>
    <t>विस्तार अधिकारी</t>
  </si>
  <si>
    <t xml:space="preserve">ग्रामपंचायत नमुना ८ संपूर्ण कारचा गोषवारा व </t>
  </si>
  <si>
    <t>रेडीरेकनरच्या दराचा तक्ता</t>
  </si>
  <si>
    <t xml:space="preserve">मालमत्तेचे  वर्णन </t>
  </si>
  <si>
    <t>रेडीरेकनरचे दर प्रती चौ.मि.</t>
  </si>
  <si>
    <t xml:space="preserve">संपूर्ण कारचा गोषवारा </t>
  </si>
  <si>
    <t>संपूर्ण कर</t>
  </si>
  <si>
    <t xml:space="preserve">गवती/ झोपडी / मातीचे घर    </t>
  </si>
  <si>
    <t xml:space="preserve">दगड,विटा,मातीचे कच्चे घर    </t>
  </si>
  <si>
    <t>वीज कर</t>
  </si>
  <si>
    <t xml:space="preserve">उद्योग </t>
  </si>
  <si>
    <t>सामान्य पाणी कर</t>
  </si>
  <si>
    <t xml:space="preserve">व्यवसाय </t>
  </si>
  <si>
    <t>विशेष  पाणी कर</t>
  </si>
  <si>
    <t>एकून कर</t>
  </si>
  <si>
    <t xml:space="preserve">दिनांक  </t>
  </si>
  <si>
    <t xml:space="preserve"> ग्रामपंचायत सिक्का</t>
  </si>
  <si>
    <t>रु.</t>
  </si>
  <si>
    <t>रु.०.४</t>
  </si>
  <si>
    <t>रु.०.७</t>
  </si>
  <si>
    <t>रु.२.००</t>
  </si>
  <si>
    <t>Frist page setting</t>
  </si>
  <si>
    <t>रु.५०</t>
  </si>
  <si>
    <t xml:space="preserve">वीज आरोग्य </t>
  </si>
  <si>
    <t xml:space="preserve">समाविष्ट गाव :- </t>
  </si>
  <si>
    <t>Total SQ</t>
  </si>
  <si>
    <t>House Tax</t>
  </si>
  <si>
    <t>Total Tax</t>
  </si>
  <si>
    <t>Water Tax</t>
  </si>
  <si>
    <t>Remaining Construction Site</t>
  </si>
  <si>
    <t>Construction Site</t>
  </si>
  <si>
    <t>Construction Type</t>
  </si>
  <si>
    <t>Electricity Tax</t>
  </si>
  <si>
    <t>Medical Tax</t>
  </si>
  <si>
    <t>Name</t>
  </si>
  <si>
    <t>Sr</t>
  </si>
  <si>
    <t xml:space="preserve">घसारा </t>
  </si>
  <si>
    <t>यवतमाळ</t>
  </si>
  <si>
    <t>जिल्हा :- यवतमाळ</t>
  </si>
  <si>
    <t>सिटी</t>
  </si>
  <si>
    <t>सर्वे</t>
  </si>
  <si>
    <t>गट</t>
  </si>
  <si>
    <t>मालमत्ता क्रमांक</t>
  </si>
  <si>
    <t xml:space="preserve">मांगील बाकी गृह </t>
  </si>
  <si>
    <t xml:space="preserve">मांगील बाकी आरोग्य </t>
  </si>
  <si>
    <t xml:space="preserve">मांगील बाकी विदूत </t>
  </si>
  <si>
    <t>मांगील बाकी पाणी</t>
  </si>
  <si>
    <t>khali  plot</t>
  </si>
  <si>
    <t>lenth</t>
  </si>
  <si>
    <t>farmula english numbers</t>
  </si>
  <si>
    <t>दक्षिण:</t>
  </si>
  <si>
    <t>रु.०.८</t>
  </si>
  <si>
    <t>रु.१.२</t>
  </si>
  <si>
    <t xml:space="preserve">पंचायत समिती :-  </t>
  </si>
  <si>
    <t xml:space="preserve">नैतिक राउत </t>
  </si>
  <si>
    <t xml:space="preserve">नैना </t>
  </si>
  <si>
    <t>स्वतः</t>
  </si>
  <si>
    <t>राम</t>
  </si>
  <si>
    <t>शाम</t>
  </si>
  <si>
    <t>राहुल</t>
  </si>
  <si>
    <t>बलराम</t>
  </si>
  <si>
    <t>Property Number</t>
  </si>
  <si>
    <t>Owner Name</t>
  </si>
  <si>
    <t>Wife Name</t>
  </si>
  <si>
    <t xml:space="preserve">Property Type </t>
  </si>
  <si>
    <t xml:space="preserve">रोहन राउत </t>
  </si>
  <si>
    <t xml:space="preserve">राहुल </t>
  </si>
  <si>
    <t>Date</t>
  </si>
  <si>
    <t>All Tax</t>
  </si>
  <si>
    <t>Tax 1</t>
  </si>
  <si>
    <t>Tax 2</t>
  </si>
  <si>
    <t>Tax 3</t>
  </si>
  <si>
    <t>Tax 4</t>
  </si>
  <si>
    <t>Tax 5</t>
  </si>
  <si>
    <t>Tax 6</t>
  </si>
  <si>
    <t>Tax 7</t>
  </si>
  <si>
    <t>Tax 8</t>
  </si>
  <si>
    <t>Property Type</t>
  </si>
  <si>
    <t>Owned By</t>
  </si>
  <si>
    <t xml:space="preserve">वनमाला राजेंद्र गोटे </t>
  </si>
  <si>
    <t xml:space="preserve">रविंद्र देविदास उमरे </t>
  </si>
  <si>
    <t xml:space="preserve">संगीता </t>
  </si>
  <si>
    <t xml:space="preserve">नरेंद्र देविदास उमरे </t>
  </si>
  <si>
    <t xml:space="preserve">सुजाता </t>
  </si>
  <si>
    <t xml:space="preserve">अंकित सुनील दांडेकर </t>
  </si>
  <si>
    <t xml:space="preserve">मोहन हरिभाऊ फुलझेले </t>
  </si>
  <si>
    <t xml:space="preserve">दर्शना </t>
  </si>
  <si>
    <t xml:space="preserve">गुलाब लढे </t>
  </si>
  <si>
    <t xml:space="preserve">रस्ता </t>
  </si>
  <si>
    <t xml:space="preserve">रेखाबाई लढे </t>
  </si>
  <si>
    <t xml:space="preserve">गोपीचंद देविदास ढाले </t>
  </si>
  <si>
    <t xml:space="preserve">ज्योतीबाई </t>
  </si>
  <si>
    <t xml:space="preserve">शेती </t>
  </si>
  <si>
    <t xml:space="preserve">रमेश ढाले </t>
  </si>
  <si>
    <t xml:space="preserve">रवींद्र उमरे </t>
  </si>
  <si>
    <t xml:space="preserve">रेखाबाई गुलाब लढे </t>
  </si>
  <si>
    <t xml:space="preserve">मोहन फुलझले </t>
  </si>
  <si>
    <t>8\1</t>
  </si>
  <si>
    <t xml:space="preserve">राजेंद्र गुलाब ढाले </t>
  </si>
  <si>
    <t xml:space="preserve">बनुबाई विश्राम सोळंके </t>
  </si>
  <si>
    <t xml:space="preserve">उमेश ढाले </t>
  </si>
  <si>
    <t xml:space="preserve">नाला </t>
  </si>
  <si>
    <t xml:space="preserve">रेखाबाई ढाले </t>
  </si>
  <si>
    <t>9\1</t>
  </si>
  <si>
    <t xml:space="preserve">संजय इसराम सोळंके </t>
  </si>
  <si>
    <t>9\2</t>
  </si>
  <si>
    <t xml:space="preserve">रवींद्र इसराम सोळंके </t>
  </si>
  <si>
    <t xml:space="preserve">सौ.शालूबाई </t>
  </si>
  <si>
    <t>9\3</t>
  </si>
  <si>
    <t xml:space="preserve">गजानन इसराम सोळंके </t>
  </si>
  <si>
    <t xml:space="preserve">रमेश विश्वनाथ ढाले </t>
  </si>
  <si>
    <t xml:space="preserve">सौ.अनिताबाई </t>
  </si>
  <si>
    <t xml:space="preserve">बनुबाई सोळंके </t>
  </si>
  <si>
    <t xml:space="preserve">गोपीचंद ढाले </t>
  </si>
  <si>
    <t xml:space="preserve">शालिक विश्वनाथ ढाले </t>
  </si>
  <si>
    <t xml:space="preserve">शोभाबाई </t>
  </si>
  <si>
    <t xml:space="preserve">ढाले </t>
  </si>
  <si>
    <t xml:space="preserve">बोळ </t>
  </si>
  <si>
    <t xml:space="preserve">विलास ढाले </t>
  </si>
  <si>
    <t xml:space="preserve">मायाबाई थूल </t>
  </si>
  <si>
    <t xml:space="preserve">चंद्रभान किसना उमरे </t>
  </si>
  <si>
    <t xml:space="preserve">गंगाधर श्रावण खैरे </t>
  </si>
  <si>
    <t xml:space="preserve">कुसुमताई </t>
  </si>
  <si>
    <t xml:space="preserve">चंद्रभान उगले </t>
  </si>
  <si>
    <t xml:space="preserve">विश्वनाथ </t>
  </si>
  <si>
    <t xml:space="preserve">विश्वनाथ नारायण खैरे </t>
  </si>
  <si>
    <t xml:space="preserve">बेबीबाई </t>
  </si>
  <si>
    <t xml:space="preserve">गंगाधर </t>
  </si>
  <si>
    <t xml:space="preserve">बंडू खैरे </t>
  </si>
  <si>
    <t xml:space="preserve">14/1 </t>
  </si>
  <si>
    <t xml:space="preserve">बंडू नारायण खैरे </t>
  </si>
  <si>
    <t xml:space="preserve">सत्यभामा अजाबराव सोयाम </t>
  </si>
  <si>
    <t xml:space="preserve">विश्वनाथ खैरे </t>
  </si>
  <si>
    <t xml:space="preserve">अरुण पेंदोर </t>
  </si>
  <si>
    <t>15/1</t>
  </si>
  <si>
    <t xml:space="preserve">मंजुषा विकास पेंदोर </t>
  </si>
  <si>
    <t xml:space="preserve">अरुण महादेव पेंदोर </t>
  </si>
  <si>
    <t xml:space="preserve">गिरजाबाई </t>
  </si>
  <si>
    <t xml:space="preserve">सत्यभामा उमरे </t>
  </si>
  <si>
    <t xml:space="preserve">दामोधर उमरे </t>
  </si>
  <si>
    <t xml:space="preserve">ईश्वर सोमा भरणे </t>
  </si>
  <si>
    <t xml:space="preserve">सुमनबाई </t>
  </si>
  <si>
    <t xml:space="preserve">माणिक भरणे </t>
  </si>
  <si>
    <t xml:space="preserve">सुमन भरणे </t>
  </si>
  <si>
    <t xml:space="preserve">17/1 </t>
  </si>
  <si>
    <t xml:space="preserve">प्रवीण ईश्वर भरणे </t>
  </si>
  <si>
    <t xml:space="preserve">लोपामुद्राबाई </t>
  </si>
  <si>
    <t xml:space="preserve">ईश्वर </t>
  </si>
  <si>
    <t xml:space="preserve">भूषण भरणे </t>
  </si>
  <si>
    <t xml:space="preserve">कवडाबाई वामन भरणे </t>
  </si>
  <si>
    <t xml:space="preserve">18/1 </t>
  </si>
  <si>
    <t xml:space="preserve">मारोती वामन भरणे </t>
  </si>
  <si>
    <t xml:space="preserve">18/2 </t>
  </si>
  <si>
    <t xml:space="preserve">सुरेश वामन भरणे </t>
  </si>
  <si>
    <t xml:space="preserve">चंद्रसेन बक्षुजी वाघमारे </t>
  </si>
  <si>
    <t xml:space="preserve">सत्यभामा सोयाम </t>
  </si>
  <si>
    <t xml:space="preserve">बौध विहार </t>
  </si>
  <si>
    <t xml:space="preserve">19/1 </t>
  </si>
  <si>
    <t xml:space="preserve">छायाबाई </t>
  </si>
  <si>
    <t xml:space="preserve">सुर्यकांत उमरे </t>
  </si>
  <si>
    <t xml:space="preserve">विहाराची जागा </t>
  </si>
  <si>
    <t xml:space="preserve">गंगाधर उमरे </t>
  </si>
  <si>
    <t xml:space="preserve">गं.भा.आशाबाई गिरीश उमरे </t>
  </si>
  <si>
    <t xml:space="preserve">कवडाबाई भरणे </t>
  </si>
  <si>
    <t xml:space="preserve">सुनीताबाई तागडे </t>
  </si>
  <si>
    <t xml:space="preserve">सुनीताबाई सुनील तागडे </t>
  </si>
  <si>
    <t xml:space="preserve">21/1 </t>
  </si>
  <si>
    <t xml:space="preserve">नितेश सुनील तागडे </t>
  </si>
  <si>
    <t xml:space="preserve">१६ ६ </t>
  </si>
  <si>
    <t xml:space="preserve">देवकाबाई मोतीराम तागडे </t>
  </si>
  <si>
    <t xml:space="preserve">देवानंद तागडे </t>
  </si>
  <si>
    <t xml:space="preserve">अवधूत पवार </t>
  </si>
  <si>
    <t xml:space="preserve">22/1 </t>
  </si>
  <si>
    <t xml:space="preserve">देवानंद मोतीराम तागडे </t>
  </si>
  <si>
    <t xml:space="preserve">देवकाबाई तागडे </t>
  </si>
  <si>
    <t xml:space="preserve">अवधूत गोविंदा मुरार </t>
  </si>
  <si>
    <t xml:space="preserve">चोखा मारोती भगत </t>
  </si>
  <si>
    <t xml:space="preserve">मीराबाई </t>
  </si>
  <si>
    <t xml:space="preserve">आनंद भगत </t>
  </si>
  <si>
    <t xml:space="preserve">राजू ढाले </t>
  </si>
  <si>
    <t xml:space="preserve">24/1 </t>
  </si>
  <si>
    <t xml:space="preserve">आनंद चोखा भगत </t>
  </si>
  <si>
    <t xml:space="preserve">मोनिकाबाई </t>
  </si>
  <si>
    <t xml:space="preserve">अवधूत भगत </t>
  </si>
  <si>
    <t xml:space="preserve">चोखा भगत </t>
  </si>
  <si>
    <t xml:space="preserve">अनिता राजेंद्र ढाले </t>
  </si>
  <si>
    <t xml:space="preserve">चोखा </t>
  </si>
  <si>
    <t xml:space="preserve">शंकर तागडे </t>
  </si>
  <si>
    <t>Wather Tax</t>
  </si>
  <si>
    <t>Niwasi</t>
  </si>
  <si>
    <t>House</t>
  </si>
  <si>
    <t>Old Property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</si>
</sst>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00439]0"/>
    <numFmt numFmtId="165" formatCode="[$-4000439]0.#"/>
    <numFmt numFmtId="166" formatCode="[$-4000439]0.##"/>
    <numFmt numFmtId="167" formatCode="[$-4000439]#,##0"/>
  </numFmts>
  <fonts count="3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8.5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0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rgb="FF006100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1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sz val="10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3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7" fillId="0" borderId="0"/>
    <xf numFmtId="0" fontId="13" fillId="5" borderId="0" applyNumberFormat="0" applyBorder="0" applyAlignment="0" applyProtection="0"/>
  </cellStyleXfs>
  <cellXfs count="454">
    <xf numFmtId="0" fontId="0" fillId="0" borderId="0" xfId="0"/>
    <xf numFmtId="0" fontId="0" fillId="0" borderId="0" xfId="0" applyAlignment="1">
      <alignment horizontal="center" vertical="center"/>
    </xf>
    <xf numFmtId="0" fontId="1" fillId="2" borderId="6" xfId="0" applyFont="1" applyFill="1" applyBorder="1" applyAlignment="1" applyProtection="1">
      <alignment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1" fillId="0" borderId="0" xfId="0" applyFont="1" applyAlignment="1" applyProtection="1">
      <alignment horizontal="left" vertical="center" indent="5"/>
      <protection locked="0"/>
    </xf>
    <xf numFmtId="0" fontId="1" fillId="2" borderId="11" xfId="0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right" vertical="center"/>
      <protection hidden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3" fillId="5" borderId="1" xfId="3" applyBorder="1" applyAlignment="1">
      <alignment horizontal="center" vertical="center" wrapText="1"/>
    </xf>
    <xf numFmtId="1" fontId="13" fillId="5" borderId="1" xfId="3" applyNumberFormat="1" applyBorder="1" applyAlignment="1">
      <alignment horizontal="center" vertical="center" wrapText="1"/>
    </xf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5" fillId="0" borderId="27" xfId="0" applyFont="1" applyBorder="1" applyAlignment="1">
      <alignment horizontal="left" vertical="top" indent="39"/>
    </xf>
    <xf numFmtId="0" fontId="0" fillId="0" borderId="28" xfId="0" applyBorder="1"/>
    <xf numFmtId="0" fontId="15" fillId="0" borderId="27" xfId="0" applyFont="1" applyBorder="1" applyAlignment="1">
      <alignment horizontal="left" indent="4"/>
    </xf>
    <xf numFmtId="0" fontId="17" fillId="0" borderId="0" xfId="0" applyFont="1" applyAlignment="1">
      <alignment horizontal="left" indent="1"/>
    </xf>
    <xf numFmtId="0" fontId="15" fillId="0" borderId="0" xfId="0" applyFont="1" applyAlignment="1">
      <alignment horizontal="left" indent="9"/>
    </xf>
    <xf numFmtId="0" fontId="15" fillId="0" borderId="0" xfId="0" applyFont="1" applyAlignment="1">
      <alignment horizontal="left" indent="22"/>
    </xf>
    <xf numFmtId="0" fontId="0" fillId="0" borderId="27" xfId="0" applyBorder="1"/>
    <xf numFmtId="0" fontId="17" fillId="0" borderId="0" xfId="0" applyFont="1"/>
    <xf numFmtId="0" fontId="15" fillId="0" borderId="27" xfId="0" applyFont="1" applyBorder="1" applyAlignment="1">
      <alignment horizontal="left" indent="8"/>
    </xf>
    <xf numFmtId="0" fontId="15" fillId="0" borderId="27" xfId="0" applyFont="1" applyBorder="1" applyAlignment="1">
      <alignment horizontal="left" indent="38"/>
    </xf>
    <xf numFmtId="0" fontId="15" fillId="0" borderId="27" xfId="0" applyFont="1" applyBorder="1" applyAlignment="1">
      <alignment horizontal="left" vertical="top" indent="20"/>
    </xf>
    <xf numFmtId="0" fontId="15" fillId="0" borderId="0" xfId="0" applyFont="1" applyAlignment="1">
      <alignment horizontal="left" vertical="center" indent="15"/>
    </xf>
    <xf numFmtId="165" fontId="15" fillId="0" borderId="0" xfId="0" applyNumberFormat="1" applyFont="1" applyAlignment="1">
      <alignment horizontal="center" vertical="center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0" fontId="0" fillId="0" borderId="31" xfId="0" applyBorder="1" applyAlignment="1">
      <alignment horizontal="center"/>
    </xf>
    <xf numFmtId="164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64" fontId="0" fillId="0" borderId="43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5" fillId="0" borderId="0" xfId="0" applyFont="1" applyAlignment="1">
      <alignment horizontal="left" indent="12"/>
    </xf>
    <xf numFmtId="164" fontId="0" fillId="0" borderId="45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0" fontId="15" fillId="0" borderId="27" xfId="0" applyFont="1" applyBorder="1" applyAlignment="1">
      <alignment horizontal="left"/>
    </xf>
    <xf numFmtId="0" fontId="0" fillId="0" borderId="44" xfId="0" applyBorder="1"/>
    <xf numFmtId="0" fontId="0" fillId="0" borderId="44" xfId="0" applyBorder="1" applyAlignment="1">
      <alignment horizontal="left" vertical="center" indent="1"/>
    </xf>
    <xf numFmtId="164" fontId="0" fillId="0" borderId="0" xfId="0" applyNumberFormat="1"/>
    <xf numFmtId="0" fontId="8" fillId="0" borderId="27" xfId="0" applyFont="1" applyBorder="1" applyAlignment="1" applyProtection="1">
      <alignment horizontal="left" vertical="center" wrapText="1"/>
      <protection locked="0" hidden="1"/>
    </xf>
    <xf numFmtId="0" fontId="8" fillId="0" borderId="0" xfId="0" applyFont="1" applyAlignment="1" applyProtection="1">
      <alignment horizontal="left" vertical="center" wrapText="1" indent="1"/>
      <protection locked="0" hidden="1"/>
    </xf>
    <xf numFmtId="0" fontId="8" fillId="0" borderId="0" xfId="0" applyFont="1" applyAlignment="1" applyProtection="1">
      <alignment wrapText="1"/>
      <protection locked="0" hidden="1"/>
    </xf>
    <xf numFmtId="0" fontId="8" fillId="0" borderId="0" xfId="0" applyFont="1" applyAlignment="1" applyProtection="1">
      <alignment horizontal="left" wrapText="1"/>
      <protection locked="0" hidden="1"/>
    </xf>
    <xf numFmtId="0" fontId="0" fillId="0" borderId="28" xfId="0" applyBorder="1" applyAlignment="1">
      <alignment wrapText="1"/>
    </xf>
    <xf numFmtId="0" fontId="8" fillId="0" borderId="0" xfId="0" applyFont="1" applyProtection="1">
      <protection locked="0" hidden="1"/>
    </xf>
    <xf numFmtId="0" fontId="18" fillId="0" borderId="0" xfId="0" applyFont="1" applyAlignment="1" applyProtection="1">
      <alignment horizontal="center" vertical="center"/>
      <protection locked="0" hidden="1"/>
    </xf>
    <xf numFmtId="0" fontId="18" fillId="0" borderId="0" xfId="0" applyFont="1" applyProtection="1">
      <protection locked="0" hidden="1"/>
    </xf>
    <xf numFmtId="0" fontId="8" fillId="0" borderId="48" xfId="0" applyFont="1" applyBorder="1" applyProtection="1">
      <protection locked="0" hidden="1"/>
    </xf>
    <xf numFmtId="0" fontId="8" fillId="0" borderId="49" xfId="0" applyFont="1" applyBorder="1" applyProtection="1">
      <protection locked="0" hidden="1"/>
    </xf>
    <xf numFmtId="0" fontId="8" fillId="0" borderId="50" xfId="0" applyFont="1" applyBorder="1" applyProtection="1">
      <protection locked="0" hidden="1"/>
    </xf>
    <xf numFmtId="0" fontId="0" fillId="0" borderId="51" xfId="0" applyBorder="1"/>
    <xf numFmtId="0" fontId="0" fillId="0" borderId="52" xfId="0" applyBorder="1"/>
    <xf numFmtId="0" fontId="0" fillId="0" borderId="41" xfId="0" applyBorder="1"/>
    <xf numFmtId="0" fontId="19" fillId="0" borderId="16" xfId="0" applyFont="1" applyBorder="1"/>
    <xf numFmtId="0" fontId="19" fillId="0" borderId="17" xfId="0" applyFont="1" applyBorder="1"/>
    <xf numFmtId="0" fontId="19" fillId="0" borderId="18" xfId="0" applyFont="1" applyBorder="1"/>
    <xf numFmtId="0" fontId="19" fillId="0" borderId="19" xfId="0" applyFont="1" applyBorder="1"/>
    <xf numFmtId="0" fontId="20" fillId="0" borderId="0" xfId="0" applyFont="1"/>
    <xf numFmtId="0" fontId="19" fillId="0" borderId="0" xfId="0" applyFont="1"/>
    <xf numFmtId="0" fontId="20" fillId="0" borderId="0" xfId="0" applyFont="1" applyAlignment="1">
      <alignment horizontal="left" indent="6"/>
    </xf>
    <xf numFmtId="0" fontId="20" fillId="0" borderId="0" xfId="0" applyFont="1" applyAlignment="1">
      <alignment horizontal="left" indent="5"/>
    </xf>
    <xf numFmtId="0" fontId="19" fillId="0" borderId="20" xfId="0" applyFont="1" applyBorder="1"/>
    <xf numFmtId="0" fontId="6" fillId="0" borderId="0" xfId="0" applyFont="1"/>
    <xf numFmtId="2" fontId="6" fillId="0" borderId="0" xfId="0" applyNumberFormat="1" applyFont="1"/>
    <xf numFmtId="164" fontId="15" fillId="0" borderId="0" xfId="0" applyNumberFormat="1" applyFont="1" applyAlignment="1">
      <alignment horizontal="center" vertical="center"/>
    </xf>
    <xf numFmtId="0" fontId="11" fillId="0" borderId="0" xfId="0" applyFont="1"/>
    <xf numFmtId="0" fontId="6" fillId="0" borderId="19" xfId="0" applyFont="1" applyBorder="1" applyAlignment="1">
      <alignment horizontal="center" vertical="center"/>
    </xf>
    <xf numFmtId="0" fontId="20" fillId="0" borderId="44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57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19" fillId="0" borderId="44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7" fontId="19" fillId="0" borderId="61" xfId="0" applyNumberFormat="1" applyFont="1" applyBorder="1" applyAlignment="1">
      <alignment vertical="center" wrapText="1"/>
    </xf>
    <xf numFmtId="167" fontId="19" fillId="0" borderId="63" xfId="0" applyNumberFormat="1" applyFont="1" applyBorder="1" applyAlignment="1">
      <alignment vertical="center" wrapText="1"/>
    </xf>
    <xf numFmtId="164" fontId="19" fillId="0" borderId="64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 indent="3"/>
    </xf>
    <xf numFmtId="0" fontId="22" fillId="0" borderId="0" xfId="0" applyFont="1" applyAlignment="1">
      <alignment horizontal="left" vertical="center" indent="1"/>
    </xf>
    <xf numFmtId="0" fontId="22" fillId="0" borderId="0" xfId="0" applyFont="1" applyAlignment="1">
      <alignment horizontal="left" vertical="center" indent="2"/>
    </xf>
    <xf numFmtId="0" fontId="22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20" xfId="0" applyBorder="1" applyAlignment="1">
      <alignment horizontal="center"/>
    </xf>
    <xf numFmtId="0" fontId="14" fillId="0" borderId="36" xfId="0" applyFont="1" applyBorder="1" applyAlignment="1">
      <alignment horizontal="center" vertical="center"/>
    </xf>
    <xf numFmtId="0" fontId="9" fillId="0" borderId="9" xfId="0" applyFont="1" applyBorder="1" applyAlignment="1" applyProtection="1">
      <alignment horizontal="center" vertical="center"/>
      <protection locked="0"/>
    </xf>
    <xf numFmtId="0" fontId="24" fillId="5" borderId="1" xfId="3" applyFon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left" vertical="center" indent="2"/>
      <protection locked="0"/>
    </xf>
    <xf numFmtId="0" fontId="23" fillId="0" borderId="3" xfId="0" applyFont="1" applyBorder="1" applyAlignment="1" applyProtection="1">
      <alignment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 wrapText="1"/>
      <protection locked="0"/>
    </xf>
    <xf numFmtId="3" fontId="0" fillId="0" borderId="0" xfId="0" applyNumberFormat="1" applyFont="1" applyAlignment="1" applyProtection="1">
      <alignment horizontal="center" vertical="center"/>
      <protection locked="0"/>
    </xf>
    <xf numFmtId="3" fontId="0" fillId="0" borderId="0" xfId="0" applyNumberFormat="1" applyFont="1" applyAlignment="1" applyProtection="1">
      <alignment horizontal="right" vertical="center"/>
      <protection locked="0"/>
    </xf>
    <xf numFmtId="2" fontId="0" fillId="0" borderId="0" xfId="0" applyNumberFormat="1" applyFont="1" applyAlignment="1" applyProtection="1">
      <alignment horizontal="center" vertical="center"/>
      <protection locked="0"/>
    </xf>
    <xf numFmtId="0" fontId="0" fillId="0" borderId="11" xfId="0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hidden="1"/>
    </xf>
    <xf numFmtId="0" fontId="7" fillId="0" borderId="0" xfId="2" applyAlignment="1">
      <alignment horizontal="center" vertical="center"/>
    </xf>
    <xf numFmtId="0" fontId="23" fillId="0" borderId="13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23" fillId="0" borderId="9" xfId="0" applyFont="1" applyBorder="1" applyAlignment="1" applyProtection="1">
      <alignment horizontal="center" vertical="center"/>
      <protection locked="0"/>
    </xf>
    <xf numFmtId="0" fontId="23" fillId="0" borderId="6" xfId="0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right" vertical="center"/>
      <protection locked="0"/>
    </xf>
    <xf numFmtId="0" fontId="23" fillId="0" borderId="3" xfId="0" applyFont="1" applyBorder="1" applyAlignment="1" applyProtection="1">
      <alignment horizontal="center" vertical="center"/>
      <protection hidden="1"/>
    </xf>
    <xf numFmtId="0" fontId="23" fillId="0" borderId="3" xfId="0" applyFont="1" applyBorder="1" applyAlignment="1" applyProtection="1">
      <alignment horizontal="left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center"/>
      <protection locked="0"/>
    </xf>
    <xf numFmtId="0" fontId="23" fillId="0" borderId="14" xfId="0" applyFont="1" applyBorder="1" applyAlignment="1" applyProtection="1">
      <alignment horizontal="center" vertical="center"/>
      <protection locked="0"/>
    </xf>
    <xf numFmtId="0" fontId="9" fillId="4" borderId="14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 wrapText="1"/>
      <protection hidden="1"/>
    </xf>
    <xf numFmtId="0" fontId="9" fillId="0" borderId="14" xfId="0" applyFont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7" xfId="0" applyFont="1" applyBorder="1" applyAlignment="1" applyProtection="1">
      <alignment horizontal="left" vertical="center"/>
      <protection hidden="1"/>
    </xf>
    <xf numFmtId="0" fontId="9" fillId="0" borderId="8" xfId="0" applyFont="1" applyBorder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2" fontId="9" fillId="0" borderId="13" xfId="0" applyNumberFormat="1" applyFont="1" applyBorder="1" applyAlignment="1" applyProtection="1">
      <alignment horizontal="center" vertical="center"/>
      <protection hidden="1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hidden="1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15" xfId="0" applyFont="1" applyBorder="1" applyAlignment="1" applyProtection="1">
      <alignment horizontal="center" vertical="center"/>
      <protection locked="0"/>
    </xf>
    <xf numFmtId="0" fontId="23" fillId="0" borderId="11" xfId="0" applyFont="1" applyBorder="1" applyAlignment="1" applyProtection="1">
      <alignment horizontal="center" vertical="center"/>
      <protection locked="0"/>
    </xf>
    <xf numFmtId="0" fontId="23" fillId="0" borderId="12" xfId="0" applyFont="1" applyBorder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0" fontId="23" fillId="0" borderId="11" xfId="0" applyFont="1" applyBorder="1" applyAlignment="1" applyProtection="1">
      <alignment vertical="center"/>
      <protection locked="0"/>
    </xf>
    <xf numFmtId="0" fontId="23" fillId="0" borderId="10" xfId="0" applyFont="1" applyBorder="1" applyAlignment="1" applyProtection="1">
      <alignment horizontal="right" vertical="center"/>
      <protection locked="0"/>
    </xf>
    <xf numFmtId="0" fontId="23" fillId="0" borderId="11" xfId="0" applyFont="1" applyBorder="1" applyAlignment="1" applyProtection="1">
      <alignment horizontal="left" vertical="center"/>
      <protection locked="0"/>
    </xf>
    <xf numFmtId="0" fontId="23" fillId="0" borderId="10" xfId="0" applyFont="1" applyBorder="1" applyAlignment="1" applyProtection="1">
      <alignment horizontal="left" vertical="center"/>
      <protection locked="0"/>
    </xf>
    <xf numFmtId="0" fontId="23" fillId="0" borderId="11" xfId="0" applyFont="1" applyBorder="1" applyAlignment="1" applyProtection="1">
      <alignment horizontal="center" vertical="center"/>
      <protection hidden="1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left" vertical="center"/>
      <protection locked="0"/>
    </xf>
    <xf numFmtId="0" fontId="23" fillId="0" borderId="7" xfId="0" applyFont="1" applyBorder="1" applyAlignment="1" applyProtection="1">
      <alignment horizontal="center" vertical="center"/>
      <protection locked="0"/>
    </xf>
    <xf numFmtId="0" fontId="23" fillId="0" borderId="8" xfId="0" applyFont="1" applyBorder="1" applyAlignment="1" applyProtection="1">
      <alignment horizontal="center" vertical="center"/>
      <protection locked="0"/>
    </xf>
    <xf numFmtId="0" fontId="9" fillId="3" borderId="13" xfId="0" applyFont="1" applyFill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left" vertical="center"/>
      <protection locked="0"/>
    </xf>
    <xf numFmtId="0" fontId="9" fillId="3" borderId="14" xfId="0" applyFont="1" applyFill="1" applyBorder="1" applyAlignment="1" applyProtection="1">
      <alignment horizontal="center" vertical="center"/>
      <protection locked="0"/>
    </xf>
    <xf numFmtId="2" fontId="23" fillId="0" borderId="9" xfId="0" applyNumberFormat="1" applyFont="1" applyBorder="1" applyAlignment="1" applyProtection="1">
      <alignment horizontal="center" vertical="center"/>
      <protection hidden="1"/>
    </xf>
    <xf numFmtId="3" fontId="23" fillId="0" borderId="14" xfId="0" applyNumberFormat="1" applyFont="1" applyBorder="1" applyAlignment="1" applyProtection="1">
      <alignment horizontal="center" vertical="center"/>
      <protection hidden="1"/>
    </xf>
    <xf numFmtId="3" fontId="23" fillId="0" borderId="13" xfId="0" applyNumberFormat="1" applyFont="1" applyBorder="1" applyAlignment="1" applyProtection="1">
      <alignment horizontal="center" vertical="center"/>
      <protection hidden="1"/>
    </xf>
    <xf numFmtId="3" fontId="23" fillId="0" borderId="14" xfId="0" applyNumberFormat="1" applyFont="1" applyBorder="1" applyAlignment="1" applyProtection="1">
      <alignment horizontal="center" vertical="center"/>
      <protection locked="0"/>
    </xf>
    <xf numFmtId="3" fontId="23" fillId="0" borderId="13" xfId="0" applyNumberFormat="1" applyFont="1" applyBorder="1" applyAlignment="1" applyProtection="1">
      <alignment vertical="center"/>
      <protection locked="0"/>
    </xf>
    <xf numFmtId="3" fontId="23" fillId="0" borderId="14" xfId="0" applyNumberFormat="1" applyFont="1" applyBorder="1" applyAlignment="1" applyProtection="1">
      <alignment vertical="center"/>
      <protection locked="0"/>
    </xf>
    <xf numFmtId="3" fontId="23" fillId="0" borderId="9" xfId="0" applyNumberFormat="1" applyFont="1" applyBorder="1" applyAlignment="1" applyProtection="1">
      <alignment horizontal="center" vertical="center"/>
      <protection hidden="1"/>
    </xf>
    <xf numFmtId="3" fontId="23" fillId="0" borderId="9" xfId="0" applyNumberFormat="1" applyFont="1" applyBorder="1" applyAlignment="1" applyProtection="1">
      <alignment horizontal="center" vertical="center"/>
      <protection locked="0"/>
    </xf>
    <xf numFmtId="3" fontId="23" fillId="0" borderId="8" xfId="0" applyNumberFormat="1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right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17" xfId="0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  <protection locked="0"/>
    </xf>
    <xf numFmtId="164" fontId="1" fillId="4" borderId="0" xfId="0" applyNumberFormat="1" applyFont="1" applyFill="1" applyBorder="1" applyAlignment="1" applyProtection="1">
      <alignment horizontal="center" vertical="center"/>
      <protection hidden="1"/>
    </xf>
    <xf numFmtId="165" fontId="1" fillId="4" borderId="0" xfId="0" applyNumberFormat="1" applyFont="1" applyFill="1" applyBorder="1" applyAlignment="1" applyProtection="1">
      <alignment horizontal="center" vertical="center"/>
      <protection hidden="1"/>
    </xf>
    <xf numFmtId="164" fontId="1" fillId="4" borderId="0" xfId="0" applyNumberFormat="1" applyFont="1" applyFill="1" applyBorder="1" applyAlignment="1" applyProtection="1">
      <alignment horizontal="center" vertical="center"/>
      <protection locked="0"/>
    </xf>
    <xf numFmtId="166" fontId="1" fillId="4" borderId="0" xfId="0" applyNumberFormat="1" applyFont="1" applyFill="1" applyBorder="1" applyAlignment="1" applyProtection="1">
      <alignment horizontal="center" vertical="center"/>
      <protection hidden="1"/>
    </xf>
    <xf numFmtId="164" fontId="1" fillId="4" borderId="0" xfId="0" applyNumberFormat="1" applyFont="1" applyFill="1" applyBorder="1" applyAlignment="1">
      <alignment horizontal="center" vertical="center"/>
    </xf>
    <xf numFmtId="0" fontId="1" fillId="4" borderId="18" xfId="0" applyFont="1" applyFill="1" applyBorder="1" applyAlignment="1" applyProtection="1">
      <alignment horizontal="center" vertical="center"/>
      <protection hidden="1"/>
    </xf>
    <xf numFmtId="0" fontId="1" fillId="4" borderId="19" xfId="0" applyFont="1" applyFill="1" applyBorder="1" applyAlignment="1" applyProtection="1">
      <alignment horizontal="center" vertical="center"/>
      <protection hidden="1"/>
    </xf>
    <xf numFmtId="0" fontId="1" fillId="4" borderId="20" xfId="0" applyFont="1" applyFill="1" applyBorder="1" applyAlignment="1" applyProtection="1">
      <alignment horizontal="center" vertical="center"/>
      <protection locked="0"/>
    </xf>
    <xf numFmtId="0" fontId="1" fillId="4" borderId="21" xfId="0" applyFont="1" applyFill="1" applyBorder="1" applyAlignment="1" applyProtection="1">
      <alignment horizontal="center" vertical="center"/>
      <protection hidden="1"/>
    </xf>
    <xf numFmtId="164" fontId="1" fillId="4" borderId="22" xfId="0" applyNumberFormat="1" applyFont="1" applyFill="1" applyBorder="1" applyAlignment="1" applyProtection="1">
      <alignment horizontal="center" vertical="center"/>
      <protection hidden="1"/>
    </xf>
    <xf numFmtId="0" fontId="1" fillId="4" borderId="22" xfId="0" applyFont="1" applyFill="1" applyBorder="1" applyAlignment="1" applyProtection="1">
      <alignment horizontal="center" vertical="center"/>
      <protection hidden="1"/>
    </xf>
    <xf numFmtId="0" fontId="1" fillId="4" borderId="22" xfId="0" applyFont="1" applyFill="1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 vertical="center"/>
      <protection locked="0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 applyProtection="1">
      <alignment horizontal="center" vertical="center"/>
      <protection locked="0"/>
    </xf>
    <xf numFmtId="0" fontId="1" fillId="4" borderId="21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Border="1" applyAlignment="1" applyProtection="1">
      <alignment horizontal="center" vertical="center"/>
      <protection hidden="1"/>
    </xf>
    <xf numFmtId="0" fontId="28" fillId="4" borderId="0" xfId="0" quotePrefix="1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Border="1" applyAlignment="1" applyProtection="1">
      <alignment horizontal="center" vertical="center"/>
      <protection locked="0"/>
    </xf>
    <xf numFmtId="0" fontId="28" fillId="4" borderId="0" xfId="0" applyFont="1" applyFill="1" applyBorder="1" applyAlignment="1" applyProtection="1">
      <alignment horizontal="center" vertical="center" wrapText="1"/>
      <protection locked="0"/>
    </xf>
    <xf numFmtId="0" fontId="28" fillId="4" borderId="0" xfId="0" applyFont="1" applyFill="1" applyBorder="1" applyAlignment="1" applyProtection="1">
      <alignment horizontal="center" vertical="top"/>
      <protection locked="0"/>
    </xf>
    <xf numFmtId="0" fontId="7" fillId="0" borderId="0" xfId="2" applyNumberFormat="1" applyAlignment="1">
      <alignment horizontal="center" vertical="center"/>
    </xf>
    <xf numFmtId="0" fontId="16" fillId="0" borderId="0" xfId="2" applyFont="1"/>
    <xf numFmtId="0" fontId="16" fillId="0" borderId="0" xfId="0" applyFont="1"/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3" fontId="23" fillId="0" borderId="13" xfId="0" applyNumberFormat="1" applyFont="1" applyBorder="1" applyAlignment="1" applyProtection="1">
      <alignment horizontal="center" vertical="center"/>
      <protection locked="0"/>
    </xf>
    <xf numFmtId="3" fontId="23" fillId="0" borderId="14" xfId="0" applyNumberFormat="1" applyFont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center" vertical="top"/>
      <protection locked="0"/>
    </xf>
    <xf numFmtId="0" fontId="2" fillId="2" borderId="6" xfId="0" applyFont="1" applyFill="1" applyBorder="1" applyAlignment="1" applyProtection="1">
      <alignment horizontal="center" vertical="top"/>
      <protection locked="0"/>
    </xf>
    <xf numFmtId="0" fontId="2" fillId="2" borderId="10" xfId="0" applyFont="1" applyFill="1" applyBorder="1" applyAlignment="1" applyProtection="1">
      <alignment horizontal="center" vertical="top"/>
      <protection locked="0"/>
    </xf>
    <xf numFmtId="0" fontId="2" fillId="2" borderId="11" xfId="0" applyFont="1" applyFill="1" applyBorder="1" applyAlignment="1" applyProtection="1">
      <alignment horizontal="center" vertical="top"/>
      <protection locked="0"/>
    </xf>
    <xf numFmtId="0" fontId="8" fillId="0" borderId="10" xfId="0" applyFont="1" applyBorder="1" applyAlignment="1" applyProtection="1">
      <alignment horizontal="center" vertical="top" wrapText="1"/>
      <protection locked="0"/>
    </xf>
    <xf numFmtId="0" fontId="8" fillId="0" borderId="12" xfId="0" applyFont="1" applyBorder="1" applyAlignment="1" applyProtection="1">
      <alignment horizontal="center" vertical="top" wrapText="1"/>
      <protection locked="0"/>
    </xf>
    <xf numFmtId="0" fontId="9" fillId="0" borderId="8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3" fontId="23" fillId="0" borderId="5" xfId="0" applyNumberFormat="1" applyFont="1" applyBorder="1" applyAlignment="1" applyProtection="1">
      <alignment horizontal="center"/>
      <protection hidden="1"/>
    </xf>
    <xf numFmtId="3" fontId="23" fillId="0" borderId="7" xfId="0" applyNumberFormat="1" applyFont="1" applyBorder="1" applyAlignment="1" applyProtection="1">
      <alignment horizontal="center"/>
      <protection hidden="1"/>
    </xf>
    <xf numFmtId="3" fontId="23" fillId="4" borderId="8" xfId="0" applyNumberFormat="1" applyFont="1" applyFill="1" applyBorder="1" applyAlignment="1" applyProtection="1">
      <alignment horizontal="center" vertical="center"/>
      <protection hidden="1"/>
    </xf>
    <xf numFmtId="3" fontId="23" fillId="4" borderId="9" xfId="0" applyNumberFormat="1" applyFont="1" applyFill="1" applyBorder="1" applyAlignment="1" applyProtection="1">
      <alignment horizontal="center" vertical="center"/>
      <protection hidden="1"/>
    </xf>
    <xf numFmtId="0" fontId="9" fillId="0" borderId="6" xfId="0" applyFont="1" applyBorder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9" fillId="0" borderId="9" xfId="0" applyFont="1" applyBorder="1" applyAlignment="1" applyProtection="1">
      <alignment horizontal="left" vertical="center"/>
      <protection hidden="1"/>
    </xf>
    <xf numFmtId="0" fontId="9" fillId="0" borderId="11" xfId="0" applyFont="1" applyBorder="1" applyAlignment="1" applyProtection="1">
      <alignment horizontal="left" vertical="center"/>
      <protection locked="0"/>
    </xf>
    <xf numFmtId="0" fontId="9" fillId="0" borderId="12" xfId="0" applyFont="1" applyBorder="1" applyAlignment="1" applyProtection="1">
      <alignment horizontal="left" vertical="center"/>
      <protection locked="0"/>
    </xf>
    <xf numFmtId="0" fontId="3" fillId="4" borderId="13" xfId="1" applyFont="1" applyFill="1" applyBorder="1" applyAlignment="1" applyProtection="1">
      <alignment horizontal="left" vertical="center" textRotation="90"/>
      <protection locked="0"/>
    </xf>
    <xf numFmtId="0" fontId="3" fillId="4" borderId="14" xfId="1" applyFont="1" applyFill="1" applyBorder="1" applyAlignment="1" applyProtection="1">
      <alignment horizontal="left" vertical="center" textRotation="90"/>
      <protection locked="0"/>
    </xf>
    <xf numFmtId="0" fontId="3" fillId="4" borderId="15" xfId="1" applyFont="1" applyFill="1" applyBorder="1" applyAlignment="1" applyProtection="1">
      <alignment horizontal="left" vertical="center" textRotation="90"/>
      <protection locked="0"/>
    </xf>
    <xf numFmtId="0" fontId="1" fillId="4" borderId="6" xfId="0" applyFont="1" applyFill="1" applyBorder="1" applyAlignment="1" applyProtection="1">
      <alignment horizontal="center" vertical="center" wrapText="1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Alignment="1" applyProtection="1">
      <alignment horizontal="center" vertical="center"/>
      <protection hidden="1"/>
    </xf>
    <xf numFmtId="0" fontId="1" fillId="4" borderId="9" xfId="0" applyFont="1" applyFill="1" applyBorder="1" applyAlignment="1" applyProtection="1">
      <alignment horizontal="center" vertical="center"/>
      <protection hidden="1"/>
    </xf>
    <xf numFmtId="0" fontId="1" fillId="4" borderId="11" xfId="0" applyFont="1" applyFill="1" applyBorder="1" applyAlignment="1" applyProtection="1">
      <alignment horizontal="center" vertical="center"/>
      <protection hidden="1"/>
    </xf>
    <xf numFmtId="0" fontId="1" fillId="4" borderId="12" xfId="0" applyFont="1" applyFill="1" applyBorder="1" applyAlignment="1" applyProtection="1">
      <alignment horizontal="center" vertical="center"/>
      <protection hidden="1"/>
    </xf>
    <xf numFmtId="0" fontId="9" fillId="0" borderId="13" xfId="0" applyFont="1" applyBorder="1" applyAlignment="1" applyProtection="1">
      <alignment horizontal="center" vertical="center" textRotation="255"/>
      <protection locked="0"/>
    </xf>
    <xf numFmtId="0" fontId="9" fillId="0" borderId="14" xfId="0" applyFont="1" applyBorder="1" applyAlignment="1" applyProtection="1">
      <alignment horizontal="center" vertical="center" textRotation="255"/>
      <protection locked="0"/>
    </xf>
    <xf numFmtId="0" fontId="9" fillId="0" borderId="15" xfId="0" applyFont="1" applyBorder="1" applyAlignment="1" applyProtection="1">
      <alignment horizontal="center" vertical="center" textRotation="255"/>
      <protection locked="0"/>
    </xf>
    <xf numFmtId="0" fontId="23" fillId="0" borderId="13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3" fontId="9" fillId="0" borderId="5" xfId="0" applyNumberFormat="1" applyFont="1" applyBorder="1" applyAlignment="1" applyProtection="1">
      <alignment horizontal="center" vertical="center"/>
      <protection hidden="1"/>
    </xf>
    <xf numFmtId="3" fontId="9" fillId="0" borderId="7" xfId="0" applyNumberFormat="1" applyFont="1" applyBorder="1" applyAlignment="1" applyProtection="1">
      <alignment horizontal="center" vertical="center"/>
      <protection hidden="1"/>
    </xf>
    <xf numFmtId="3" fontId="9" fillId="0" borderId="10" xfId="0" applyNumberFormat="1" applyFont="1" applyBorder="1" applyAlignment="1" applyProtection="1">
      <alignment horizontal="center" vertical="center"/>
      <protection hidden="1"/>
    </xf>
    <xf numFmtId="3" fontId="9" fillId="0" borderId="12" xfId="0" applyNumberFormat="1" applyFont="1" applyBorder="1" applyAlignment="1" applyProtection="1">
      <alignment horizontal="center" vertical="center"/>
      <protection hidden="1"/>
    </xf>
    <xf numFmtId="3" fontId="9" fillId="0" borderId="13" xfId="0" applyNumberFormat="1" applyFont="1" applyBorder="1" applyAlignment="1" applyProtection="1">
      <alignment horizontal="center" vertical="center"/>
      <protection hidden="1"/>
    </xf>
    <xf numFmtId="3" fontId="9" fillId="0" borderId="15" xfId="0" applyNumberFormat="1" applyFont="1" applyBorder="1" applyAlignment="1" applyProtection="1">
      <alignment horizontal="center" vertical="center"/>
      <protection hidden="1"/>
    </xf>
    <xf numFmtId="0" fontId="9" fillId="0" borderId="13" xfId="0" applyFont="1" applyBorder="1" applyAlignment="1" applyProtection="1">
      <alignment horizontal="center" vertical="center"/>
      <protection hidden="1"/>
    </xf>
    <xf numFmtId="0" fontId="9" fillId="0" borderId="15" xfId="0" applyFont="1" applyBorder="1" applyAlignment="1" applyProtection="1">
      <alignment horizontal="center" vertical="center"/>
      <protection hidden="1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23" fillId="0" borderId="2" xfId="0" applyFont="1" applyBorder="1" applyAlignment="1" applyProtection="1">
      <alignment horizontal="center" vertical="center"/>
      <protection locked="0"/>
    </xf>
    <xf numFmtId="0" fontId="23" fillId="0" borderId="3" xfId="0" applyFont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Alignment="1" applyProtection="1">
      <alignment horizontal="center" vertical="center" wrapText="1"/>
      <protection locked="0"/>
    </xf>
    <xf numFmtId="0" fontId="8" fillId="0" borderId="8" xfId="0" applyFont="1" applyBorder="1" applyAlignment="1" applyProtection="1">
      <alignment horizontal="center" vertical="top"/>
      <protection locked="0"/>
    </xf>
    <xf numFmtId="0" fontId="8" fillId="0" borderId="0" xfId="0" applyFont="1" applyBorder="1" applyAlignment="1" applyProtection="1">
      <alignment horizontal="center" vertical="top"/>
      <protection locked="0"/>
    </xf>
    <xf numFmtId="0" fontId="8" fillId="0" borderId="9" xfId="0" applyFont="1" applyBorder="1" applyAlignment="1" applyProtection="1">
      <alignment horizontal="center" vertical="top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10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3" fontId="23" fillId="0" borderId="8" xfId="0" applyNumberFormat="1" applyFont="1" applyBorder="1" applyAlignment="1" applyProtection="1">
      <alignment horizontal="center" vertical="top"/>
      <protection hidden="1"/>
    </xf>
    <xf numFmtId="3" fontId="23" fillId="0" borderId="9" xfId="0" applyNumberFormat="1" applyFont="1" applyBorder="1" applyAlignment="1" applyProtection="1">
      <alignment horizontal="center" vertical="top"/>
      <protection hidden="1"/>
    </xf>
    <xf numFmtId="3" fontId="23" fillId="0" borderId="8" xfId="0" applyNumberFormat="1" applyFont="1" applyBorder="1" applyAlignment="1" applyProtection="1">
      <alignment horizontal="center" vertical="top" wrapText="1"/>
      <protection hidden="1"/>
    </xf>
    <xf numFmtId="3" fontId="23" fillId="0" borderId="9" xfId="0" applyNumberFormat="1" applyFont="1" applyBorder="1" applyAlignment="1" applyProtection="1">
      <alignment horizontal="center" vertical="top" wrapText="1"/>
      <protection hidden="1"/>
    </xf>
    <xf numFmtId="3" fontId="23" fillId="0" borderId="8" xfId="0" applyNumberFormat="1" applyFont="1" applyBorder="1" applyAlignment="1" applyProtection="1">
      <alignment horizontal="center" vertical="top"/>
      <protection locked="0"/>
    </xf>
    <xf numFmtId="3" fontId="23" fillId="0" borderId="9" xfId="0" applyNumberFormat="1" applyFont="1" applyBorder="1" applyAlignment="1" applyProtection="1">
      <alignment horizontal="center" vertical="top"/>
      <protection locked="0"/>
    </xf>
    <xf numFmtId="0" fontId="9" fillId="0" borderId="13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/>
      <protection locked="0"/>
    </xf>
    <xf numFmtId="0" fontId="8" fillId="0" borderId="7" xfId="0" applyFont="1" applyBorder="1" applyAlignment="1" applyProtection="1">
      <alignment horizontal="center"/>
      <protection locked="0"/>
    </xf>
    <xf numFmtId="0" fontId="25" fillId="0" borderId="13" xfId="0" applyFont="1" applyBorder="1" applyAlignment="1" applyProtection="1">
      <alignment horizontal="center" textRotation="90"/>
      <protection locked="0"/>
    </xf>
    <xf numFmtId="0" fontId="25" fillId="0" borderId="14" xfId="0" applyFont="1" applyBorder="1" applyAlignment="1" applyProtection="1">
      <alignment horizontal="center" textRotation="90"/>
      <protection locked="0"/>
    </xf>
    <xf numFmtId="0" fontId="25" fillId="0" borderId="15" xfId="0" applyFont="1" applyBorder="1" applyAlignment="1" applyProtection="1">
      <alignment horizontal="center" textRotation="90"/>
      <protection locked="0"/>
    </xf>
    <xf numFmtId="0" fontId="9" fillId="2" borderId="2" xfId="0" applyFont="1" applyFill="1" applyBorder="1" applyAlignment="1" applyProtection="1">
      <alignment horizontal="right" vertical="center"/>
      <protection locked="0"/>
    </xf>
    <xf numFmtId="0" fontId="9" fillId="2" borderId="4" xfId="0" applyFont="1" applyFill="1" applyBorder="1" applyAlignment="1" applyProtection="1">
      <alignment horizontal="right" vertical="center"/>
      <protection locked="0"/>
    </xf>
    <xf numFmtId="0" fontId="9" fillId="2" borderId="1" xfId="0" applyFont="1" applyFill="1" applyBorder="1" applyAlignment="1" applyProtection="1">
      <alignment horizontal="right" vertical="center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8" fillId="0" borderId="14" xfId="0" applyFont="1" applyBorder="1" applyAlignment="1" applyProtection="1">
      <alignment horizontal="center" vertical="center" wrapText="1"/>
      <protection locked="0"/>
    </xf>
    <xf numFmtId="0" fontId="8" fillId="0" borderId="15" xfId="0" applyFont="1" applyBorder="1" applyAlignment="1" applyProtection="1">
      <alignment horizontal="center" vertical="center" wrapText="1"/>
      <protection locked="0"/>
    </xf>
    <xf numFmtId="0" fontId="10" fillId="0" borderId="2" xfId="0" applyFont="1" applyBorder="1" applyAlignment="1" applyProtection="1">
      <alignment horizontal="center"/>
      <protection hidden="1"/>
    </xf>
    <xf numFmtId="0" fontId="10" fillId="0" borderId="3" xfId="0" applyFont="1" applyBorder="1" applyAlignment="1" applyProtection="1">
      <alignment horizontal="center"/>
      <protection hidden="1"/>
    </xf>
    <xf numFmtId="0" fontId="10" fillId="0" borderId="4" xfId="0" applyFont="1" applyBorder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8" fillId="0" borderId="10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center" vertical="center" wrapText="1"/>
      <protection locked="0"/>
    </xf>
    <xf numFmtId="0" fontId="8" fillId="0" borderId="12" xfId="0" applyFont="1" applyBorder="1" applyAlignment="1" applyProtection="1">
      <alignment horizontal="center" vertical="center" wrapText="1"/>
      <protection locked="0"/>
    </xf>
    <xf numFmtId="0" fontId="23" fillId="0" borderId="3" xfId="0" applyFont="1" applyBorder="1" applyAlignment="1" applyProtection="1">
      <alignment horizontal="left" vertical="center"/>
      <protection hidden="1"/>
    </xf>
    <xf numFmtId="0" fontId="23" fillId="0" borderId="10" xfId="0" applyFont="1" applyBorder="1" applyAlignment="1" applyProtection="1">
      <alignment horizontal="center" vertical="center"/>
      <protection locked="0"/>
    </xf>
    <xf numFmtId="0" fontId="23" fillId="0" borderId="11" xfId="0" applyFont="1" applyBorder="1" applyAlignment="1" applyProtection="1">
      <alignment horizontal="center" vertical="center"/>
      <protection locked="0"/>
    </xf>
    <xf numFmtId="0" fontId="23" fillId="0" borderId="12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 wrapText="1"/>
      <protection hidden="1"/>
    </xf>
    <xf numFmtId="0" fontId="9" fillId="0" borderId="6" xfId="0" applyFont="1" applyBorder="1" applyAlignment="1" applyProtection="1">
      <alignment horizontal="center" vertical="center" wrapText="1"/>
      <protection hidden="1"/>
    </xf>
    <xf numFmtId="0" fontId="9" fillId="0" borderId="7" xfId="0" applyFont="1" applyBorder="1" applyAlignment="1" applyProtection="1">
      <alignment horizontal="center" vertical="center" wrapText="1"/>
      <protection hidden="1"/>
    </xf>
    <xf numFmtId="0" fontId="9" fillId="0" borderId="8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9" xfId="0" applyFont="1" applyBorder="1" applyAlignment="1" applyProtection="1">
      <alignment horizontal="center" vertical="center" wrapText="1"/>
      <protection hidden="1"/>
    </xf>
    <xf numFmtId="0" fontId="9" fillId="0" borderId="10" xfId="0" applyFont="1" applyBorder="1" applyAlignment="1" applyProtection="1">
      <alignment horizontal="center" vertical="center" wrapText="1"/>
      <protection hidden="1"/>
    </xf>
    <xf numFmtId="0" fontId="9" fillId="0" borderId="11" xfId="0" applyFont="1" applyBorder="1" applyAlignment="1" applyProtection="1">
      <alignment horizontal="center" vertical="center" wrapText="1"/>
      <protection hidden="1"/>
    </xf>
    <xf numFmtId="0" fontId="9" fillId="0" borderId="12" xfId="0" applyFont="1" applyBorder="1" applyAlignment="1" applyProtection="1">
      <alignment horizontal="center" vertical="center" wrapText="1"/>
      <protection hidden="1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9" fillId="0" borderId="11" xfId="0" applyFont="1" applyBorder="1" applyAlignment="1" applyProtection="1">
      <alignment horizontal="center" vertical="center"/>
      <protection hidden="1"/>
    </xf>
    <xf numFmtId="0" fontId="9" fillId="0" borderId="12" xfId="0" applyFont="1" applyBorder="1" applyAlignment="1" applyProtection="1">
      <alignment horizontal="center" vertical="center"/>
      <protection hidden="1"/>
    </xf>
    <xf numFmtId="0" fontId="23" fillId="0" borderId="5" xfId="0" applyFont="1" applyBorder="1" applyAlignment="1" applyProtection="1">
      <alignment horizontal="center" vertical="center"/>
      <protection locked="0"/>
    </xf>
    <xf numFmtId="0" fontId="23" fillId="0" borderId="6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9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 applyProtection="1">
      <alignment horizontal="center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  <xf numFmtId="0" fontId="23" fillId="0" borderId="4" xfId="0" applyFont="1" applyBorder="1" applyAlignment="1" applyProtection="1">
      <alignment horizontal="left" vertical="center"/>
      <protection hidden="1"/>
    </xf>
    <xf numFmtId="3" fontId="9" fillId="3" borderId="1" xfId="0" applyNumberFormat="1" applyFont="1" applyFill="1" applyBorder="1" applyAlignment="1" applyProtection="1">
      <alignment horizontal="center" vertical="center"/>
      <protection hidden="1"/>
    </xf>
    <xf numFmtId="3" fontId="9" fillId="3" borderId="13" xfId="0" applyNumberFormat="1" applyFont="1" applyFill="1" applyBorder="1" applyAlignment="1" applyProtection="1">
      <alignment horizontal="center" vertical="center"/>
      <protection hidden="1"/>
    </xf>
    <xf numFmtId="3" fontId="9" fillId="3" borderId="2" xfId="0" applyNumberFormat="1" applyFont="1" applyFill="1" applyBorder="1" applyAlignment="1" applyProtection="1">
      <alignment horizontal="center" vertical="center"/>
      <protection hidden="1"/>
    </xf>
    <xf numFmtId="3" fontId="9" fillId="3" borderId="3" xfId="0" applyNumberFormat="1" applyFont="1" applyFill="1" applyBorder="1" applyAlignment="1" applyProtection="1">
      <alignment horizontal="center" vertical="center"/>
      <protection hidden="1"/>
    </xf>
    <xf numFmtId="3" fontId="9" fillId="3" borderId="4" xfId="0" applyNumberFormat="1" applyFont="1" applyFill="1" applyBorder="1" applyAlignment="1" applyProtection="1">
      <alignment horizontal="center" vertical="center"/>
      <protection hidden="1"/>
    </xf>
    <xf numFmtId="0" fontId="9" fillId="0" borderId="14" xfId="0" applyFont="1" applyBorder="1" applyAlignment="1" applyProtection="1">
      <alignment horizontal="center" vertical="center" textRotation="255" wrapText="1"/>
      <protection locked="0"/>
    </xf>
    <xf numFmtId="0" fontId="10" fillId="0" borderId="14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right" vertical="center"/>
      <protection locked="0"/>
    </xf>
    <xf numFmtId="0" fontId="0" fillId="0" borderId="19" xfId="0" applyBorder="1" applyAlignment="1">
      <alignment horizontal="center"/>
    </xf>
    <xf numFmtId="0" fontId="1" fillId="4" borderId="17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 vertical="center"/>
      <protection locked="0"/>
    </xf>
    <xf numFmtId="0" fontId="1" fillId="4" borderId="19" xfId="0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Border="1" applyAlignment="1" applyProtection="1">
      <alignment horizontal="center" vertical="center"/>
      <protection hidden="1"/>
    </xf>
    <xf numFmtId="0" fontId="18" fillId="0" borderId="27" xfId="0" applyFont="1" applyBorder="1" applyAlignment="1" applyProtection="1">
      <alignment horizontal="center"/>
      <protection locked="0" hidden="1"/>
    </xf>
    <xf numFmtId="0" fontId="18" fillId="0" borderId="0" xfId="0" applyFont="1" applyAlignment="1" applyProtection="1">
      <alignment horizontal="center"/>
      <protection locked="0" hidden="1"/>
    </xf>
    <xf numFmtId="0" fontId="18" fillId="0" borderId="28" xfId="0" applyFont="1" applyBorder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167" fontId="19" fillId="0" borderId="61" xfId="0" applyNumberFormat="1" applyFont="1" applyBorder="1" applyAlignment="1">
      <alignment horizontal="center" vertical="center" wrapText="1"/>
    </xf>
    <xf numFmtId="167" fontId="19" fillId="0" borderId="63" xfId="0" applyNumberFormat="1" applyFont="1" applyBorder="1" applyAlignment="1">
      <alignment horizontal="center" vertical="center" wrapText="1"/>
    </xf>
    <xf numFmtId="0" fontId="19" fillId="0" borderId="61" xfId="0" applyFont="1" applyBorder="1" applyAlignment="1">
      <alignment horizontal="center" vertical="center" wrapText="1"/>
    </xf>
    <xf numFmtId="0" fontId="19" fillId="0" borderId="62" xfId="0" applyFont="1" applyBorder="1" applyAlignment="1">
      <alignment horizontal="center" vertical="center" wrapText="1"/>
    </xf>
    <xf numFmtId="0" fontId="19" fillId="0" borderId="63" xfId="0" applyFont="1" applyBorder="1" applyAlignment="1">
      <alignment horizontal="center" vertical="center" wrapText="1"/>
    </xf>
    <xf numFmtId="164" fontId="5" fillId="0" borderId="61" xfId="0" applyNumberFormat="1" applyFont="1" applyBorder="1" applyAlignment="1">
      <alignment horizontal="center" vertical="center" wrapText="1"/>
    </xf>
    <xf numFmtId="164" fontId="5" fillId="0" borderId="62" xfId="0" applyNumberFormat="1" applyFont="1" applyBorder="1" applyAlignment="1">
      <alignment horizontal="center" vertical="center" wrapText="1"/>
    </xf>
    <xf numFmtId="164" fontId="5" fillId="0" borderId="63" xfId="0" applyNumberFormat="1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167" fontId="19" fillId="0" borderId="21" xfId="0" applyNumberFormat="1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4" fontId="5" fillId="4" borderId="61" xfId="0" applyNumberFormat="1" applyFont="1" applyFill="1" applyBorder="1" applyAlignment="1">
      <alignment horizontal="center" vertical="center" wrapText="1"/>
    </xf>
    <xf numFmtId="164" fontId="5" fillId="4" borderId="62" xfId="0" applyNumberFormat="1" applyFont="1" applyFill="1" applyBorder="1" applyAlignment="1">
      <alignment horizontal="center" vertical="center" wrapText="1"/>
    </xf>
    <xf numFmtId="164" fontId="5" fillId="4" borderId="63" xfId="0" applyNumberFormat="1" applyFont="1" applyFill="1" applyBorder="1" applyAlignment="1">
      <alignment horizontal="center" vertical="center" wrapText="1"/>
    </xf>
    <xf numFmtId="164" fontId="21" fillId="0" borderId="61" xfId="0" applyNumberFormat="1" applyFont="1" applyBorder="1" applyAlignment="1">
      <alignment horizontal="center" vertical="center" wrapText="1"/>
    </xf>
    <xf numFmtId="164" fontId="21" fillId="0" borderId="62" xfId="0" applyNumberFormat="1" applyFont="1" applyBorder="1" applyAlignment="1">
      <alignment horizontal="center" vertical="center" wrapText="1"/>
    </xf>
    <xf numFmtId="164" fontId="21" fillId="0" borderId="63" xfId="0" applyNumberFormat="1" applyFont="1" applyBorder="1" applyAlignment="1">
      <alignment horizontal="center" vertical="center" wrapText="1"/>
    </xf>
    <xf numFmtId="164" fontId="19" fillId="0" borderId="57" xfId="0" applyNumberFormat="1" applyFont="1" applyBorder="1" applyAlignment="1">
      <alignment horizontal="center" vertical="center" wrapText="1"/>
    </xf>
    <xf numFmtId="164" fontId="19" fillId="0" borderId="64" xfId="0" applyNumberFormat="1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167" fontId="19" fillId="0" borderId="16" xfId="0" applyNumberFormat="1" applyFont="1" applyBorder="1" applyAlignment="1">
      <alignment horizontal="center" vertical="center" wrapText="1"/>
    </xf>
    <xf numFmtId="167" fontId="19" fillId="0" borderId="18" xfId="0" applyNumberFormat="1" applyFont="1" applyBorder="1" applyAlignment="1">
      <alignment horizontal="center" vertical="center" wrapText="1"/>
    </xf>
    <xf numFmtId="167" fontId="19" fillId="0" borderId="19" xfId="0" applyNumberFormat="1" applyFont="1" applyBorder="1" applyAlignment="1">
      <alignment horizontal="center" vertical="center" wrapText="1"/>
    </xf>
    <xf numFmtId="167" fontId="19" fillId="0" borderId="20" xfId="0" applyNumberFormat="1" applyFont="1" applyBorder="1" applyAlignment="1">
      <alignment horizontal="center" vertical="center" wrapText="1"/>
    </xf>
    <xf numFmtId="0" fontId="20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center"/>
    </xf>
    <xf numFmtId="0" fontId="20" fillId="0" borderId="53" xfId="0" applyFont="1" applyBorder="1" applyAlignment="1">
      <alignment horizontal="center" vertical="center" wrapText="1"/>
    </xf>
    <xf numFmtId="0" fontId="20" fillId="0" borderId="54" xfId="0" applyFont="1" applyBorder="1" applyAlignment="1">
      <alignment horizontal="center" vertical="center" wrapText="1"/>
    </xf>
    <xf numFmtId="0" fontId="20" fillId="0" borderId="55" xfId="0" applyFont="1" applyBorder="1" applyAlignment="1">
      <alignment horizontal="center" vertical="center" wrapText="1"/>
    </xf>
    <xf numFmtId="0" fontId="20" fillId="0" borderId="56" xfId="0" applyFont="1" applyBorder="1" applyAlignment="1">
      <alignment horizontal="center" vertical="center" wrapText="1"/>
    </xf>
    <xf numFmtId="0" fontId="20" fillId="0" borderId="58" xfId="0" applyFont="1" applyBorder="1" applyAlignment="1">
      <alignment horizontal="center" vertical="center" wrapText="1"/>
    </xf>
    <xf numFmtId="0" fontId="20" fillId="0" borderId="59" xfId="0" applyFont="1" applyBorder="1" applyAlignment="1">
      <alignment horizontal="center" vertical="center" wrapText="1"/>
    </xf>
    <xf numFmtId="0" fontId="20" fillId="0" borderId="60" xfId="0" applyFont="1" applyBorder="1" applyAlignment="1">
      <alignment horizontal="center" vertical="center" wrapText="1"/>
    </xf>
    <xf numFmtId="0" fontId="0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9" fillId="5" borderId="1" xfId="3" applyFont="1" applyBorder="1" applyAlignment="1">
      <alignment horizontal="center" vertical="center"/>
    </xf>
    <xf numFmtId="0" fontId="29" fillId="5" borderId="1" xfId="3" applyNumberFormat="1" applyFont="1" applyBorder="1" applyAlignment="1">
      <alignment horizontal="center" vertical="center" wrapText="1"/>
    </xf>
    <xf numFmtId="0" fontId="29" fillId="5" borderId="1" xfId="3" applyFont="1" applyBorder="1" applyAlignment="1">
      <alignment horizontal="center" vertical="center" wrapText="1"/>
    </xf>
    <xf numFmtId="0" fontId="29" fillId="0" borderId="1" xfId="2" applyFont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0" fillId="5" borderId="1" xfId="3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</cellXfs>
  <cellStyles count="4">
    <cellStyle name="Good" xfId="3" builtinId="26"/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30</xdr:row>
      <xdr:rowOff>142875</xdr:rowOff>
    </xdr:from>
    <xdr:to>
      <xdr:col>2</xdr:col>
      <xdr:colOff>412444</xdr:colOff>
      <xdr:row>32</xdr:row>
      <xdr:rowOff>76803</xdr:rowOff>
    </xdr:to>
    <xdr:pic>
      <xdr:nvPicPr>
        <xdr:cNvPr id="246" name="image83.jpeg">
          <a:extLst>
            <a:ext uri="{FF2B5EF4-FFF2-40B4-BE49-F238E27FC236}">
              <a16:creationId xmlns:a16="http://schemas.microsoft.com/office/drawing/2014/main" xmlns="" id="{00000000-0008-0000-00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5734050"/>
          <a:ext cx="1069669" cy="314928"/>
        </a:xfrm>
        <a:prstGeom prst="rect">
          <a:avLst/>
        </a:prstGeom>
      </xdr:spPr>
    </xdr:pic>
    <xdr:clientData/>
  </xdr:twoCellAnchor>
  <xdr:twoCellAnchor>
    <xdr:from>
      <xdr:col>22</xdr:col>
      <xdr:colOff>171450</xdr:colOff>
      <xdr:row>29</xdr:row>
      <xdr:rowOff>85725</xdr:rowOff>
    </xdr:from>
    <xdr:to>
      <xdr:col>29</xdr:col>
      <xdr:colOff>238125</xdr:colOff>
      <xdr:row>32</xdr:row>
      <xdr:rowOff>85725</xdr:rowOff>
    </xdr:to>
    <xdr:pic>
      <xdr:nvPicPr>
        <xdr:cNvPr id="247" name="image82.jpeg">
          <a:extLst>
            <a:ext uri="{FF2B5EF4-FFF2-40B4-BE49-F238E27FC236}">
              <a16:creationId xmlns:a16="http://schemas.microsoft.com/office/drawing/2014/main" xmlns="" id="{00000000-0008-0000-00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4962525"/>
          <a:ext cx="1485900" cy="571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228601</xdr:colOff>
          <xdr:row>9</xdr:row>
          <xdr:rowOff>85725</xdr:rowOff>
        </xdr:from>
        <xdr:to>
          <xdr:col>34</xdr:col>
          <xdr:colOff>514351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ALL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5575f6eb516d88e/Desktop/Copy%20of%20watkheda%20deta%20chake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ake list"/>
      <sheetName val="MATSER"/>
    </sheetNames>
    <sheetDataSet>
      <sheetData sheetId="0" refreshError="1"/>
      <sheetData sheetId="1" refreshError="1"/>
      <sheetData sheetId="2">
        <row r="3">
          <cell r="A3" t="str">
            <v xml:space="preserve">गवती/ झोपडी / मातीचे घर </v>
          </cell>
        </row>
        <row r="4">
          <cell r="A4" t="str">
            <v xml:space="preserve">दगड,विटा,मातीचे कच्चे घर </v>
          </cell>
        </row>
        <row r="5">
          <cell r="A5" t="str">
            <v xml:space="preserve">विटा सिमेंट चे पक्के घर </v>
          </cell>
        </row>
        <row r="6">
          <cell r="A6" t="str">
            <v xml:space="preserve">आर सी सी </v>
          </cell>
        </row>
        <row r="7">
          <cell r="A7" t="str">
            <v xml:space="preserve">खाली जागा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5"/>
  <sheetViews>
    <sheetView showGridLines="0" showZeros="0" tabSelected="1" showWhiteSpace="0" view="pageLayout" zoomScaleNormal="130" workbookViewId="0">
      <selection activeCell="AK18" sqref="AK18"/>
    </sheetView>
  </sheetViews>
  <sheetFormatPr defaultColWidth="9.125" defaultRowHeight="14.25"/>
  <cols>
    <col min="1" max="1" width="4.625" style="143" customWidth="1"/>
    <col min="2" max="2" width="7.875" style="143" customWidth="1"/>
    <col min="3" max="3" width="6.75" style="143" customWidth="1"/>
    <col min="4" max="4" width="7.125" style="143" customWidth="1"/>
    <col min="5" max="5" width="7.75" style="143" customWidth="1"/>
    <col min="6" max="6" width="8" style="143" customWidth="1"/>
    <col min="7" max="7" width="8.125" style="143" customWidth="1"/>
    <col min="8" max="8" width="8" style="143" customWidth="1"/>
    <col min="9" max="9" width="6.75" style="143" customWidth="1"/>
    <col min="10" max="10" width="6.125" style="143" customWidth="1"/>
    <col min="11" max="11" width="5.875" style="143" customWidth="1"/>
    <col min="12" max="12" width="6.375" style="143" customWidth="1"/>
    <col min="13" max="13" width="6.125" style="143" customWidth="1"/>
    <col min="14" max="14" width="6.625" style="143" customWidth="1"/>
    <col min="15" max="15" width="6" style="143" customWidth="1"/>
    <col min="16" max="16" width="4.5" style="143" customWidth="1"/>
    <col min="17" max="17" width="1.625" style="143" customWidth="1"/>
    <col min="18" max="18" width="3.25" style="143" customWidth="1"/>
    <col min="19" max="19" width="4" style="143" customWidth="1"/>
    <col min="20" max="20" width="1.25" style="143" customWidth="1"/>
    <col min="21" max="21" width="4.75" style="143" customWidth="1"/>
    <col min="22" max="22" width="2.875" style="143" hidden="1" customWidth="1"/>
    <col min="23" max="23" width="6" style="143" customWidth="1"/>
    <col min="24" max="24" width="1.625" style="143" customWidth="1"/>
    <col min="25" max="25" width="4.25" style="143" customWidth="1"/>
    <col min="26" max="26" width="1.875" style="143" customWidth="1"/>
    <col min="27" max="27" width="0.625" style="143" customWidth="1"/>
    <col min="28" max="28" width="2.625" style="143" customWidth="1"/>
    <col min="29" max="29" width="3.75" style="143" customWidth="1"/>
    <col min="30" max="30" width="6" style="143" customWidth="1"/>
    <col min="31" max="16384" width="9.125" style="143"/>
  </cols>
  <sheetData>
    <row r="1" spans="1:35">
      <c r="A1" s="317" t="s">
        <v>71</v>
      </c>
      <c r="B1" s="318"/>
      <c r="C1" s="318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8"/>
      <c r="V1" s="318"/>
      <c r="W1" s="318"/>
      <c r="X1" s="318"/>
      <c r="Y1" s="318"/>
      <c r="Z1" s="318"/>
      <c r="AA1" s="318"/>
      <c r="AB1" s="318"/>
      <c r="AC1" s="318"/>
      <c r="AD1" s="320"/>
      <c r="AF1" s="236">
        <f>Y12*AA12</f>
        <v>100</v>
      </c>
      <c r="AG1" s="236">
        <f>IFERROR(W17*S12,"")</f>
        <v>6038.6978337797336</v>
      </c>
      <c r="AH1" s="236"/>
      <c r="AI1" s="236">
        <f>Y12*AA12/10.76391</f>
        <v>9.2903043596611283</v>
      </c>
    </row>
    <row r="2" spans="1:35" ht="14.45" customHeight="1">
      <c r="A2" s="245" t="s">
        <v>64</v>
      </c>
      <c r="B2" s="245"/>
      <c r="C2" s="245"/>
      <c r="D2" s="338">
        <f>Master!J1</f>
        <v>0</v>
      </c>
      <c r="E2" s="339"/>
      <c r="F2" s="340"/>
      <c r="G2" s="246" t="s">
        <v>33</v>
      </c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329" t="s">
        <v>30</v>
      </c>
      <c r="V2" s="2"/>
      <c r="W2" s="368"/>
      <c r="X2" s="369"/>
      <c r="Y2" s="369"/>
      <c r="Z2" s="370"/>
      <c r="AA2" s="120"/>
      <c r="AB2" s="264" t="s">
        <v>72</v>
      </c>
      <c r="AC2" s="267"/>
      <c r="AD2" s="268"/>
      <c r="AF2" s="236">
        <f>Y13*AA13</f>
        <v>0</v>
      </c>
      <c r="AG2" s="236">
        <f>IFERROR(Y13*AA13/10.76391*S12,"")</f>
        <v>0</v>
      </c>
      <c r="AH2" s="236"/>
      <c r="AI2" s="236">
        <f>Y13*AA13/10.76391</f>
        <v>0</v>
      </c>
    </row>
    <row r="3" spans="1:35" ht="17.25" customHeight="1">
      <c r="A3" s="245" t="s">
        <v>65</v>
      </c>
      <c r="B3" s="245"/>
      <c r="C3" s="245"/>
      <c r="D3" s="341">
        <f>Master!J2</f>
        <v>0</v>
      </c>
      <c r="E3" s="341"/>
      <c r="F3" s="341"/>
      <c r="G3" s="248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330"/>
      <c r="V3" s="3"/>
      <c r="W3" s="371"/>
      <c r="X3" s="372"/>
      <c r="Y3" s="372"/>
      <c r="Z3" s="373"/>
      <c r="AA3" s="121"/>
      <c r="AB3" s="265"/>
      <c r="AC3" s="269"/>
      <c r="AD3" s="270"/>
      <c r="AF3" s="236">
        <f>Y14*AA14</f>
        <v>0</v>
      </c>
      <c r="AG3" s="236">
        <f>IFERROR(Y14*AA14/10.76391*S12,"")</f>
        <v>0</v>
      </c>
      <c r="AH3" s="236"/>
      <c r="AI3" s="236">
        <f>Y14*AA14/10.76391</f>
        <v>0</v>
      </c>
    </row>
    <row r="4" spans="1:35">
      <c r="A4" s="245" t="s">
        <v>66</v>
      </c>
      <c r="B4" s="245"/>
      <c r="C4" s="245"/>
      <c r="D4" s="338">
        <f>Master!J3</f>
        <v>0</v>
      </c>
      <c r="E4" s="339"/>
      <c r="F4" s="340"/>
      <c r="G4" s="238" t="s">
        <v>34</v>
      </c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  <c r="T4" s="239"/>
      <c r="U4" s="330"/>
      <c r="V4" s="3"/>
      <c r="W4" s="371"/>
      <c r="X4" s="372"/>
      <c r="Y4" s="372"/>
      <c r="Z4" s="373"/>
      <c r="AA4" s="121"/>
      <c r="AB4" s="265"/>
      <c r="AC4" s="269"/>
      <c r="AD4" s="270"/>
      <c r="AF4" s="236">
        <f>Y12*AA12+Y13*AA13+Y14*AA14+Y15*AB15</f>
        <v>100</v>
      </c>
      <c r="AG4" s="236"/>
      <c r="AH4" s="236"/>
      <c r="AI4" s="236">
        <f>SUM(AI1:AI3)</f>
        <v>9.2903043596611283</v>
      </c>
    </row>
    <row r="5" spans="1:35">
      <c r="A5" s="245" t="s">
        <v>67</v>
      </c>
      <c r="B5" s="245"/>
      <c r="C5" s="245"/>
      <c r="D5" s="338" t="str">
        <f>Master!J4</f>
        <v>यवतमाळ</v>
      </c>
      <c r="E5" s="339"/>
      <c r="F5" s="340"/>
      <c r="G5" s="4" t="s">
        <v>35</v>
      </c>
      <c r="H5" s="237" t="str">
        <f>Master!J5</f>
        <v>2026-27</v>
      </c>
      <c r="I5" s="237"/>
      <c r="J5" s="139" t="s">
        <v>36</v>
      </c>
      <c r="K5" s="237" t="str">
        <f>Master!K5</f>
        <v>2029-30</v>
      </c>
      <c r="L5" s="237"/>
      <c r="M5" s="5" t="s">
        <v>37</v>
      </c>
      <c r="N5" s="139"/>
      <c r="O5" s="139"/>
      <c r="P5" s="139"/>
      <c r="Q5" s="139"/>
      <c r="R5" s="139"/>
      <c r="S5" s="139"/>
      <c r="T5" s="139"/>
      <c r="U5" s="331"/>
      <c r="V5" s="6"/>
      <c r="W5" s="374"/>
      <c r="X5" s="375"/>
      <c r="Y5" s="375"/>
      <c r="Z5" s="376"/>
      <c r="AA5" s="122"/>
      <c r="AB5" s="266"/>
      <c r="AC5" s="271"/>
      <c r="AD5" s="272"/>
      <c r="AF5" s="236">
        <f>P12*R12+P13*R13+P14*R14+P15*R15</f>
        <v>484</v>
      </c>
      <c r="AG5" s="236"/>
      <c r="AH5" s="236"/>
      <c r="AI5" s="236"/>
    </row>
    <row r="6" spans="1:35" ht="15" customHeight="1">
      <c r="A6" s="123" t="s">
        <v>31</v>
      </c>
      <c r="B6" s="300" t="s">
        <v>29</v>
      </c>
      <c r="C6" s="301"/>
      <c r="D6" s="144" t="s">
        <v>173</v>
      </c>
      <c r="E6" s="130" t="s">
        <v>0</v>
      </c>
      <c r="F6" s="293" t="s">
        <v>2</v>
      </c>
      <c r="G6" s="294"/>
      <c r="H6" s="324"/>
      <c r="I6" s="293" t="s">
        <v>3</v>
      </c>
      <c r="J6" s="324"/>
      <c r="K6" s="293" t="s">
        <v>46</v>
      </c>
      <c r="L6" s="294"/>
      <c r="M6" s="294"/>
      <c r="N6" s="324"/>
      <c r="O6" s="335" t="s">
        <v>39</v>
      </c>
      <c r="P6" s="293" t="s">
        <v>5</v>
      </c>
      <c r="Q6" s="294"/>
      <c r="R6" s="294"/>
      <c r="S6" s="293" t="s">
        <v>8</v>
      </c>
      <c r="T6" s="294"/>
      <c r="U6" s="295"/>
      <c r="V6" s="295"/>
      <c r="W6" s="295"/>
      <c r="X6" s="295"/>
      <c r="Y6" s="295"/>
      <c r="Z6" s="295"/>
      <c r="AA6" s="295"/>
      <c r="AB6" s="296"/>
      <c r="AC6" s="389" t="s">
        <v>170</v>
      </c>
      <c r="AD6" s="325" t="s">
        <v>70</v>
      </c>
    </row>
    <row r="7" spans="1:35">
      <c r="A7" s="123" t="s">
        <v>32</v>
      </c>
      <c r="B7" s="302" t="s">
        <v>4</v>
      </c>
      <c r="C7" s="303"/>
      <c r="D7" s="145" t="s">
        <v>174</v>
      </c>
      <c r="E7" s="124" t="s">
        <v>1</v>
      </c>
      <c r="F7" s="305"/>
      <c r="G7" s="295"/>
      <c r="H7" s="296"/>
      <c r="I7" s="305" t="s">
        <v>4</v>
      </c>
      <c r="J7" s="296"/>
      <c r="K7" s="305"/>
      <c r="L7" s="295"/>
      <c r="M7" s="295"/>
      <c r="N7" s="296"/>
      <c r="O7" s="336"/>
      <c r="P7" s="305" t="s">
        <v>6</v>
      </c>
      <c r="Q7" s="295"/>
      <c r="R7" s="295"/>
      <c r="S7" s="306" t="s">
        <v>9</v>
      </c>
      <c r="T7" s="307"/>
      <c r="U7" s="307"/>
      <c r="V7" s="307"/>
      <c r="W7" s="307"/>
      <c r="X7" s="307"/>
      <c r="Y7" s="307"/>
      <c r="Z7" s="307"/>
      <c r="AA7" s="307"/>
      <c r="AB7" s="308"/>
      <c r="AC7" s="389"/>
      <c r="AD7" s="325"/>
    </row>
    <row r="8" spans="1:35" ht="15" customHeight="1">
      <c r="A8" s="138"/>
      <c r="B8" s="302"/>
      <c r="C8" s="304"/>
      <c r="D8" s="145" t="s">
        <v>175</v>
      </c>
      <c r="E8" s="11"/>
      <c r="F8" s="305"/>
      <c r="G8" s="295"/>
      <c r="H8" s="296"/>
      <c r="I8" s="305"/>
      <c r="J8" s="296"/>
      <c r="K8" s="305"/>
      <c r="L8" s="295"/>
      <c r="M8" s="295"/>
      <c r="N8" s="296"/>
      <c r="O8" s="336"/>
      <c r="P8" s="305" t="s">
        <v>7</v>
      </c>
      <c r="Q8" s="295"/>
      <c r="R8" s="295"/>
      <c r="S8" s="293" t="s">
        <v>73</v>
      </c>
      <c r="T8" s="294"/>
      <c r="U8" s="324"/>
      <c r="V8" s="390" t="s">
        <v>10</v>
      </c>
      <c r="W8" s="300" t="s">
        <v>11</v>
      </c>
      <c r="X8" s="342"/>
      <c r="Y8" s="342"/>
      <c r="Z8" s="342"/>
      <c r="AA8" s="342"/>
      <c r="AB8" s="301"/>
      <c r="AC8" s="389"/>
      <c r="AD8" s="325"/>
      <c r="AF8" s="441"/>
      <c r="AG8" s="441"/>
      <c r="AH8" s="441"/>
      <c r="AI8" s="441"/>
    </row>
    <row r="9" spans="1:35" ht="13.5" customHeight="1">
      <c r="A9" s="138"/>
      <c r="B9" s="125"/>
      <c r="C9" s="126"/>
      <c r="D9" s="116"/>
      <c r="E9" s="11"/>
      <c r="F9" s="306"/>
      <c r="G9" s="307"/>
      <c r="H9" s="308"/>
      <c r="I9" s="306"/>
      <c r="J9" s="308"/>
      <c r="K9" s="306"/>
      <c r="L9" s="307"/>
      <c r="M9" s="307"/>
      <c r="N9" s="308"/>
      <c r="O9" s="337"/>
      <c r="P9" s="306" t="s">
        <v>58</v>
      </c>
      <c r="Q9" s="307"/>
      <c r="R9" s="307"/>
      <c r="S9" s="305"/>
      <c r="T9" s="295"/>
      <c r="U9" s="296"/>
      <c r="V9" s="390"/>
      <c r="W9" s="343"/>
      <c r="X9" s="344"/>
      <c r="Y9" s="344"/>
      <c r="Z9" s="344"/>
      <c r="AA9" s="344"/>
      <c r="AB9" s="345"/>
      <c r="AC9" s="389"/>
      <c r="AD9" s="325"/>
      <c r="AF9" s="439"/>
      <c r="AG9" s="439"/>
      <c r="AH9" s="439"/>
      <c r="AI9" s="439"/>
    </row>
    <row r="10" spans="1:35">
      <c r="A10" s="7">
        <v>1</v>
      </c>
      <c r="B10" s="240">
        <v>2</v>
      </c>
      <c r="C10" s="241"/>
      <c r="D10" s="119">
        <v>3</v>
      </c>
      <c r="E10" s="131">
        <v>4</v>
      </c>
      <c r="F10" s="240">
        <v>5</v>
      </c>
      <c r="G10" s="242"/>
      <c r="H10" s="241"/>
      <c r="I10" s="240">
        <v>6</v>
      </c>
      <c r="J10" s="241"/>
      <c r="K10" s="240">
        <v>7</v>
      </c>
      <c r="L10" s="242"/>
      <c r="M10" s="242"/>
      <c r="N10" s="241"/>
      <c r="O10" s="7">
        <v>8</v>
      </c>
      <c r="P10" s="240">
        <v>9</v>
      </c>
      <c r="Q10" s="242"/>
      <c r="R10" s="242"/>
      <c r="S10" s="240"/>
      <c r="T10" s="242"/>
      <c r="U10" s="241"/>
      <c r="V10" s="7">
        <v>11</v>
      </c>
      <c r="W10" s="240">
        <v>12</v>
      </c>
      <c r="X10" s="242"/>
      <c r="Y10" s="242"/>
      <c r="Z10" s="242"/>
      <c r="AA10" s="242"/>
      <c r="AB10" s="241"/>
      <c r="AC10" s="7">
        <v>13</v>
      </c>
      <c r="AD10" s="7">
        <v>14</v>
      </c>
      <c r="AF10" s="439"/>
      <c r="AG10" s="439"/>
      <c r="AH10" s="439"/>
      <c r="AI10" s="439"/>
    </row>
    <row r="11" spans="1:35" ht="7.5" customHeight="1">
      <c r="A11" s="153"/>
      <c r="B11" s="154"/>
      <c r="C11" s="155"/>
      <c r="D11" s="156"/>
      <c r="E11" s="153"/>
      <c r="F11" s="350" t="str">
        <f>IFERROR(VLOOKUP(A12,Datasheet!$1:$1048576,3,TRUE),"")</f>
        <v xml:space="preserve">नैतिक राउत </v>
      </c>
      <c r="G11" s="351"/>
      <c r="H11" s="352"/>
      <c r="I11" s="350" t="str">
        <f>IFERROR(VLOOKUP(A12,Datasheet!$1:$1048576,5,TRUE),"")</f>
        <v>स्वतः</v>
      </c>
      <c r="J11" s="352"/>
      <c r="K11" s="365"/>
      <c r="L11" s="366"/>
      <c r="M11" s="366"/>
      <c r="N11" s="367"/>
      <c r="O11" s="153"/>
      <c r="P11" s="157" t="s">
        <v>59</v>
      </c>
      <c r="Q11" s="158" t="str">
        <f>IF(AND(P11&lt;&gt;"", R11&lt;&gt;""), "×", "")</f>
        <v>×</v>
      </c>
      <c r="R11" s="159" t="s">
        <v>60</v>
      </c>
      <c r="S11" s="160"/>
      <c r="T11" s="161"/>
      <c r="U11" s="162"/>
      <c r="V11" s="163"/>
      <c r="W11" s="297" t="s">
        <v>68</v>
      </c>
      <c r="X11" s="298"/>
      <c r="Y11" s="298"/>
      <c r="Z11" s="298"/>
      <c r="AA11" s="298"/>
      <c r="AB11" s="299"/>
      <c r="AC11" s="163"/>
      <c r="AD11" s="163"/>
      <c r="AF11" s="439"/>
      <c r="AG11" s="439"/>
      <c r="AH11" s="439"/>
      <c r="AI11" s="439"/>
    </row>
    <row r="12" spans="1:35">
      <c r="A12" s="164">
        <v>1</v>
      </c>
      <c r="B12" s="252">
        <f>D3</f>
        <v>0</v>
      </c>
      <c r="C12" s="254"/>
      <c r="D12" s="165">
        <f>IFERROR(VLOOKUP(A12,Datasheet!$1:$1048576,30,TRUE),"")</f>
        <v>0</v>
      </c>
      <c r="E12" s="166">
        <f>IFERROR(VLOOKUP(A12,Datasheet!$1:$1048576,2,TRUE),"")</f>
        <v>1</v>
      </c>
      <c r="F12" s="353"/>
      <c r="G12" s="354"/>
      <c r="H12" s="355"/>
      <c r="I12" s="353"/>
      <c r="J12" s="355"/>
      <c r="K12" s="252" t="str">
        <f>IFERROR(VLOOKUP(A12,Datasheet!$1:$1048576,8,TRUE),"")</f>
        <v>दगड,विटा,मातीचे कच्चे घर</v>
      </c>
      <c r="L12" s="253"/>
      <c r="M12" s="253"/>
      <c r="N12" s="254"/>
      <c r="O12" s="167">
        <f>IFERROR(VLOOKUP(A12,Datasheet!$1:$1048576,11,TRUE),"")</f>
        <v>2010</v>
      </c>
      <c r="P12" s="168">
        <f>IFERROR(VLOOKUP(A12,Datasheet!$1:$1048576,6,TRUE),"")</f>
        <v>22</v>
      </c>
      <c r="Q12" s="169" t="str">
        <f>IFERROR(IF(AND(ISNUMBER(P12),ISNUMBER(R12),P12&gt;0,R12&gt;0),"×",""),"")</f>
        <v>×</v>
      </c>
      <c r="R12" s="170">
        <f>IFERROR(VLOOKUP(A12,Datasheet!$1:$1048576,7,TRUE),"")</f>
        <v>22</v>
      </c>
      <c r="S12" s="12">
        <f>IFERROR(Master!B7,"")</f>
        <v>650</v>
      </c>
      <c r="T12" s="171" t="str">
        <f>IF(AND(ISNUMBER(S12), ISNUMBER(U12), S12&gt;0, U12&gt;0), "-", "")</f>
        <v>-</v>
      </c>
      <c r="U12" s="172">
        <f>IFERROR(S16,"")</f>
        <v>384</v>
      </c>
      <c r="V12" s="163"/>
      <c r="W12" s="173">
        <f>IFERROR(INDEX(Master!$B$2:$B$6,MATCH(Form!K12,Master!$A$2:$A$6,0)),"")</f>
        <v>9314</v>
      </c>
      <c r="X12" s="174" t="str">
        <f>IF(AND(ISNUMBER(W12), ISNUMBER(Y12), W12&gt;0, Y12&gt;0), "-", "")</f>
        <v>-</v>
      </c>
      <c r="Y12" s="174">
        <f>IFERROR(VLOOKUP(A12,Datasheet!$1:$1048576,9,TRUE),"")</f>
        <v>10</v>
      </c>
      <c r="Z12" s="170" t="str">
        <f>IF(AND(ISNUMBER(Y12), ISNUMBER(AA12), Y12&gt;0, AA12&gt;0), "×", "")</f>
        <v>×</v>
      </c>
      <c r="AA12" s="259">
        <f>IFERROR(VLOOKUP(A12,Datasheet!$1:$1048576,10,TRUE),"")</f>
        <v>10</v>
      </c>
      <c r="AB12" s="259"/>
      <c r="AC12" s="175">
        <f>IF(OR(TRIM(K12)="गवती/ झोपडी / मातीचे घर", TRIM(K12)="दगड,विटा,मातीचे कच्चे घर"),
        INDEX(Master!$K$11:$K$56, MATCH(O12, Master!$J$11:$J$56, 0)),
 IF(OR(TRIM(K12)="विटा सिमेंटचे अर्धे पक्के", TRIM(K12)="आर सी सी"),
        INDEX(Master!$K$58:$K$103, MATCH(O12, Master!$J$58:$J$103, 0)),
 ""))</f>
        <v>0.75</v>
      </c>
      <c r="AD12" s="176">
        <f>IF(AD13="निवासी",1, IF(AD13="ओद्योगिक",1.2, IF(AD13="वाणिज्यिक",1.25, "")))</f>
        <v>1</v>
      </c>
      <c r="AF12" s="439"/>
      <c r="AG12" s="439"/>
      <c r="AH12" s="439"/>
      <c r="AI12" s="439"/>
    </row>
    <row r="13" spans="1:35">
      <c r="A13" s="163"/>
      <c r="B13" s="252"/>
      <c r="C13" s="254"/>
      <c r="D13" s="154"/>
      <c r="E13" s="163"/>
      <c r="F13" s="353"/>
      <c r="G13" s="354"/>
      <c r="H13" s="355"/>
      <c r="I13" s="353"/>
      <c r="J13" s="355"/>
      <c r="K13" s="252">
        <f>IFERROR(VLOOKUP(A12,Datasheet!$1:$1048576,16,TRUE),"")</f>
        <v>0</v>
      </c>
      <c r="L13" s="253"/>
      <c r="M13" s="253"/>
      <c r="N13" s="254"/>
      <c r="O13" s="167">
        <f>IFERROR(VLOOKUP(A12,Datasheet!$1:$1048576,19,TRUE),"")</f>
        <v>0</v>
      </c>
      <c r="P13" s="173">
        <f>Y13</f>
        <v>0</v>
      </c>
      <c r="Q13" s="177" t="str">
        <f t="shared" ref="Q13:Q15" si="0">IFERROR(IF(AND(ISNUMBER(P13),ISNUMBER(R13),P13&gt;0,R13&gt;0),"×",""),"")</f>
        <v/>
      </c>
      <c r="R13" s="170">
        <f>AA13</f>
        <v>0</v>
      </c>
      <c r="S13" s="178"/>
      <c r="T13" s="169" t="str">
        <f t="shared" ref="T13:T15" si="1">IF(AND(ISNUMBER(S13), ISNUMBER(U13), S13&gt;0, U13&gt;0), "-", "")</f>
        <v/>
      </c>
      <c r="U13" s="155"/>
      <c r="V13" s="163"/>
      <c r="W13" s="173" t="str">
        <f>IFERROR(INDEX(Master!$B$2:$B$6,MATCH(Form!K13,Master!$A$2:$A$6,0)),"")</f>
        <v/>
      </c>
      <c r="X13" s="174" t="str">
        <f t="shared" ref="X13:X14" si="2">IF(AND(ISNUMBER(W13), ISNUMBER(Y13), W13&gt;0, Y13&gt;0), "-", "")</f>
        <v/>
      </c>
      <c r="Y13" s="174">
        <f>IFERROR(VLOOKUP(A12,Datasheet!$1:$1048576,17,TRUE),"")</f>
        <v>0</v>
      </c>
      <c r="Z13" s="170" t="str">
        <f>IF(AND(ISNUMBER(Y13), ISNUMBER(AA13), Y13&gt;0, AA13&gt;0), "×", "")</f>
        <v/>
      </c>
      <c r="AA13" s="260">
        <f>IFERROR(VLOOKUP(A12,Datasheet!$1:$1048576,18,TRUE),"")</f>
        <v>0</v>
      </c>
      <c r="AB13" s="261"/>
      <c r="AC13" s="167" t="str">
        <f>IF(OR(TRIM(K13)="गवती/ झोपडी / मातीचे घर", TRIM(K13)="दगड,विटा,मातीचे कच्चे घर"),
        INDEX(Master!$K$11:$K$56, MATCH(O13, Master!$J$11:$J$56, 0)),
 IF(OR(TRIM(K13)="विटा सिमेंटचे अर्धे पक्के", TRIM(K13)="आर सी सी"),
        INDEX(Master!$K$58:$K$103, MATCH(O13, Master!$J$58:$J$103, 0)),
 ""))</f>
        <v/>
      </c>
      <c r="AD13" s="273" t="str">
        <f>IFERROR(VLOOKUP(A12,Datasheet!$1:$1048576,26,TRUE),"")</f>
        <v>निवासी</v>
      </c>
      <c r="AF13" s="439"/>
      <c r="AG13" s="439"/>
      <c r="AH13" s="439"/>
      <c r="AI13" s="439"/>
    </row>
    <row r="14" spans="1:35">
      <c r="A14" s="163"/>
      <c r="B14" s="154"/>
      <c r="C14" s="155"/>
      <c r="D14" s="154"/>
      <c r="E14" s="163"/>
      <c r="F14" s="356"/>
      <c r="G14" s="357"/>
      <c r="H14" s="358"/>
      <c r="I14" s="353"/>
      <c r="J14" s="355"/>
      <c r="K14" s="252">
        <f>IFERROR(VLOOKUP(A12,Datasheet!$1:$1048576,20,TRUE),"")</f>
        <v>0</v>
      </c>
      <c r="L14" s="253"/>
      <c r="M14" s="253"/>
      <c r="N14" s="254"/>
      <c r="O14" s="167">
        <f>IFERROR(VLOOKUP(A12,Datasheet!$1:$1048576,23,TRUE),"")</f>
        <v>0</v>
      </c>
      <c r="P14" s="168">
        <f>Y14</f>
        <v>0</v>
      </c>
      <c r="Q14" s="169" t="str">
        <f t="shared" si="0"/>
        <v/>
      </c>
      <c r="R14" s="170">
        <f>AA14</f>
        <v>0</v>
      </c>
      <c r="S14" s="178"/>
      <c r="T14" s="169" t="str">
        <f t="shared" si="1"/>
        <v/>
      </c>
      <c r="U14" s="155"/>
      <c r="V14" s="163"/>
      <c r="W14" s="173" t="str">
        <f>IFERROR(INDEX(Master!$B$2:$B$6,MATCH(Form!K14,Master!$A$2:$A$6,0)),"")</f>
        <v/>
      </c>
      <c r="X14" s="174" t="str">
        <f t="shared" si="2"/>
        <v/>
      </c>
      <c r="Y14" s="174">
        <f>IFERROR(VLOOKUP(A12,Datasheet!$1:$1048576,21,TRUE),"")</f>
        <v>0</v>
      </c>
      <c r="Z14" s="170" t="str">
        <f>IF(AND(ISNUMBER(Y14), ISNUMBER(AA14), Y14&gt;0, AA14&gt;0), "×", "")</f>
        <v/>
      </c>
      <c r="AA14" s="260">
        <f>IFERROR(VLOOKUP(A12,Datasheet!$1:$1048576,22,TRUE),"")</f>
        <v>0</v>
      </c>
      <c r="AB14" s="261"/>
      <c r="AC14" s="167" t="str">
        <f>IF(OR(TRIM(K14)="गवती/ झोपडी / मातीचे घर", TRIM(K14)="दगड,विटा,मातीचे कच्चे घर"),
        INDEX(Master!$K$11:$K$56, MATCH(O14, Master!$J$11:$J$56, 0)),
 IF(OR(TRIM(K14)="विटा सिमेंटचे अर्धे पक्के", TRIM(K14)="आर सी सी"),
        INDEX(Master!$K$58:$K$103, MATCH(O14, Master!$J$58:$J$103, 0)),
 ""))</f>
        <v/>
      </c>
      <c r="AD14" s="274"/>
      <c r="AF14" s="440"/>
      <c r="AG14" s="439"/>
      <c r="AH14" s="439"/>
      <c r="AI14" s="439"/>
    </row>
    <row r="15" spans="1:35" ht="27.6" customHeight="1">
      <c r="A15" s="179"/>
      <c r="B15" s="180"/>
      <c r="C15" s="181"/>
      <c r="D15" s="180"/>
      <c r="E15" s="182"/>
      <c r="F15" s="359" t="s">
        <v>63</v>
      </c>
      <c r="G15" s="360"/>
      <c r="H15" s="361"/>
      <c r="I15" s="183"/>
      <c r="J15" s="183"/>
      <c r="K15" s="347"/>
      <c r="L15" s="348"/>
      <c r="M15" s="348"/>
      <c r="N15" s="349"/>
      <c r="O15" s="179"/>
      <c r="P15" s="184"/>
      <c r="Q15" s="169" t="str">
        <f t="shared" si="0"/>
        <v/>
      </c>
      <c r="R15" s="185"/>
      <c r="S15" s="186"/>
      <c r="T15" s="187" t="str">
        <f t="shared" si="1"/>
        <v/>
      </c>
      <c r="U15" s="181"/>
      <c r="V15" s="163"/>
      <c r="W15" s="188"/>
      <c r="X15" s="189"/>
      <c r="Y15" s="189"/>
      <c r="Z15" s="170" t="str">
        <f t="shared" ref="Z15" si="3">IF(AND(ISNUMBER(Y15), ISNUMBER(AB15), Y15&gt;0, AB15&gt;0), "×", "")</f>
        <v/>
      </c>
      <c r="AA15" s="262"/>
      <c r="AB15" s="263"/>
      <c r="AC15" s="163"/>
      <c r="AD15" s="275"/>
      <c r="AF15" s="439"/>
      <c r="AG15" s="439"/>
      <c r="AH15" s="439"/>
      <c r="AI15" s="439"/>
    </row>
    <row r="16" spans="1:35">
      <c r="A16" s="190" t="s">
        <v>69</v>
      </c>
      <c r="B16" s="180"/>
      <c r="C16" s="298"/>
      <c r="D16" s="298"/>
      <c r="E16" s="299"/>
      <c r="F16" s="362" t="str">
        <f>IFERROR(VLOOKUP(A12,Datasheet!$1:$1048576,4,TRUE),"")</f>
        <v xml:space="preserve">नैना </v>
      </c>
      <c r="G16" s="363"/>
      <c r="H16" s="364"/>
      <c r="I16" s="156"/>
      <c r="J16" s="191"/>
      <c r="K16" s="192"/>
      <c r="L16" s="154"/>
      <c r="M16" s="154"/>
      <c r="N16" s="332" t="s">
        <v>56</v>
      </c>
      <c r="O16" s="333"/>
      <c r="P16" s="384">
        <f>IFERROR(AF5,"")</f>
        <v>484</v>
      </c>
      <c r="Q16" s="384"/>
      <c r="R16" s="384"/>
      <c r="S16" s="386">
        <f>IFERROR(P16-W16,"")</f>
        <v>384</v>
      </c>
      <c r="T16" s="387"/>
      <c r="U16" s="388"/>
      <c r="V16" s="193"/>
      <c r="W16" s="386">
        <f>IFERROR(AF4,"")</f>
        <v>100</v>
      </c>
      <c r="X16" s="387"/>
      <c r="Y16" s="387"/>
      <c r="Z16" s="387"/>
      <c r="AA16" s="387"/>
      <c r="AB16" s="388"/>
      <c r="AC16" s="153"/>
      <c r="AD16" s="153"/>
      <c r="AF16" s="441"/>
      <c r="AG16" s="441"/>
      <c r="AH16" s="441"/>
      <c r="AI16" s="441"/>
    </row>
    <row r="17" spans="1:38">
      <c r="A17" s="194" t="s">
        <v>22</v>
      </c>
      <c r="B17" s="154"/>
      <c r="C17" s="298"/>
      <c r="D17" s="298"/>
      <c r="E17" s="299"/>
      <c r="F17" s="297"/>
      <c r="G17" s="298"/>
      <c r="H17" s="299"/>
      <c r="I17" s="182"/>
      <c r="J17" s="181"/>
      <c r="K17" s="182"/>
      <c r="L17" s="180"/>
      <c r="M17" s="180"/>
      <c r="N17" s="334" t="s">
        <v>57</v>
      </c>
      <c r="O17" s="334"/>
      <c r="P17" s="385">
        <f>IFERROR(P16/10.76391,"")</f>
        <v>44.965073100759859</v>
      </c>
      <c r="Q17" s="385"/>
      <c r="R17" s="385"/>
      <c r="S17" s="386">
        <f>IFERROR(P17-W17,"")</f>
        <v>35.674768741098731</v>
      </c>
      <c r="T17" s="387"/>
      <c r="U17" s="388"/>
      <c r="V17" s="195"/>
      <c r="W17" s="386">
        <f>IFERROR(W16/10.76391,"")</f>
        <v>9.2903043596611283</v>
      </c>
      <c r="X17" s="387"/>
      <c r="Y17" s="387"/>
      <c r="Z17" s="387"/>
      <c r="AA17" s="387"/>
      <c r="AB17" s="388"/>
      <c r="AC17" s="163"/>
      <c r="AD17" s="163"/>
    </row>
    <row r="18" spans="1:38" ht="27.75" customHeight="1">
      <c r="A18" s="327" t="s">
        <v>12</v>
      </c>
      <c r="B18" s="328"/>
      <c r="C18" s="134" t="s">
        <v>14</v>
      </c>
      <c r="D18" s="321" t="s">
        <v>21</v>
      </c>
      <c r="E18" s="322"/>
      <c r="F18" s="322"/>
      <c r="G18" s="322"/>
      <c r="H18" s="322"/>
      <c r="I18" s="322"/>
      <c r="J18" s="323"/>
      <c r="K18" s="326"/>
      <c r="L18" s="319"/>
      <c r="M18" s="319"/>
      <c r="N18" s="319"/>
      <c r="O18" s="319"/>
      <c r="P18" s="377" t="s">
        <v>82</v>
      </c>
      <c r="Q18" s="378"/>
      <c r="R18" s="378"/>
      <c r="S18" s="378"/>
      <c r="T18" s="378"/>
      <c r="U18" s="378"/>
      <c r="V18" s="378"/>
      <c r="W18" s="378"/>
      <c r="X18" s="378"/>
      <c r="Y18" s="378"/>
      <c r="Z18" s="378"/>
      <c r="AA18" s="378"/>
      <c r="AB18" s="378"/>
      <c r="AC18" s="378"/>
      <c r="AD18" s="379"/>
    </row>
    <row r="19" spans="1:38" s="146" customFormat="1" ht="32.25" customHeight="1">
      <c r="A19" s="250" t="s">
        <v>13</v>
      </c>
      <c r="B19" s="251"/>
      <c r="C19" s="134" t="s">
        <v>15</v>
      </c>
      <c r="D19" s="132" t="s">
        <v>62</v>
      </c>
      <c r="E19" s="132" t="s">
        <v>16</v>
      </c>
      <c r="F19" s="132" t="s">
        <v>17</v>
      </c>
      <c r="G19" s="132" t="s">
        <v>18</v>
      </c>
      <c r="H19" s="132" t="s">
        <v>19</v>
      </c>
      <c r="I19" s="132" t="s">
        <v>20</v>
      </c>
      <c r="J19" s="132" t="s">
        <v>5</v>
      </c>
      <c r="K19" s="132" t="s">
        <v>62</v>
      </c>
      <c r="L19" s="132" t="s">
        <v>16</v>
      </c>
      <c r="M19" s="132" t="s">
        <v>61</v>
      </c>
      <c r="N19" s="132" t="s">
        <v>18</v>
      </c>
      <c r="O19" s="133" t="s">
        <v>5</v>
      </c>
      <c r="P19" s="380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2"/>
    </row>
    <row r="20" spans="1:38">
      <c r="A20" s="240">
        <v>15</v>
      </c>
      <c r="B20" s="241"/>
      <c r="C20" s="119">
        <v>16</v>
      </c>
      <c r="D20" s="7">
        <v>17</v>
      </c>
      <c r="E20" s="7">
        <v>18</v>
      </c>
      <c r="F20" s="7">
        <v>19</v>
      </c>
      <c r="G20" s="7">
        <v>20</v>
      </c>
      <c r="H20" s="7">
        <v>21</v>
      </c>
      <c r="I20" s="7">
        <v>22</v>
      </c>
      <c r="J20" s="7">
        <v>23</v>
      </c>
      <c r="K20" s="7">
        <v>24</v>
      </c>
      <c r="L20" s="7">
        <v>25</v>
      </c>
      <c r="M20" s="7">
        <v>26</v>
      </c>
      <c r="N20" s="7">
        <v>27</v>
      </c>
      <c r="O20" s="7">
        <v>28</v>
      </c>
      <c r="P20" s="240">
        <v>29</v>
      </c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1"/>
    </row>
    <row r="21" spans="1:38" s="147" customFormat="1" ht="13.5" customHeight="1">
      <c r="A21" s="255">
        <f>IFERROR(W17*W12*AC12+AG1*AD12,"")</f>
        <v>70936.118938192551</v>
      </c>
      <c r="B21" s="256"/>
      <c r="C21" s="196">
        <f>IF(A21="", "", IFERROR(INDEX(Master!$C$2:$C$7, MATCH(Form!K12, Master!$A$2:$A$7, 0)), ""))</f>
        <v>0.7</v>
      </c>
      <c r="D21" s="197">
        <f>IF(F11="सरकार","",IFERROR(A21*C21/1000,""))</f>
        <v>49.655283256734776</v>
      </c>
      <c r="E21" s="198">
        <f>IF(OR(TRIM(K12)="खाली जागा",TRIM(K13)="खाली जागा"),"",
IF(F11="सरकार","",
IF(W17&lt;=30,30,
IF(W17&lt;=70,40,
IF(W17&lt;=120,50,50)))))</f>
        <v>30</v>
      </c>
      <c r="F21" s="198">
        <f>IF(OR(TRIM(K12)="खाली जागा",TRIM(K13)="खाली जागा"),"",
IF(F11="सरकार","",
IF(W17&lt;=30,30,
IF(W17&lt;=70,40,
IF(W17&lt;=120,50,50)))))</f>
        <v>30</v>
      </c>
      <c r="G21" s="198"/>
      <c r="H21" s="243"/>
      <c r="I21" s="243"/>
      <c r="J21" s="198">
        <f>IF(F11="सरकार","",IFERROR(SUM(D21+E21+F21+G21),""))</f>
        <v>109.65528325673478</v>
      </c>
      <c r="K21" s="199"/>
      <c r="L21" s="199"/>
      <c r="M21" s="199"/>
      <c r="N21" s="199"/>
      <c r="O21" s="200"/>
      <c r="P21" s="278"/>
      <c r="Q21" s="279"/>
      <c r="R21" s="279"/>
      <c r="S21" s="279"/>
      <c r="T21" s="279"/>
      <c r="U21" s="279"/>
      <c r="V21" s="279"/>
      <c r="W21" s="279"/>
      <c r="X21" s="279"/>
      <c r="Y21" s="279"/>
      <c r="Z21" s="279"/>
      <c r="AA21" s="279"/>
      <c r="AB21" s="279"/>
      <c r="AC21" s="279"/>
      <c r="AD21" s="280"/>
      <c r="AL21" s="148"/>
    </row>
    <row r="22" spans="1:38" s="147" customFormat="1" ht="12.75" customHeight="1">
      <c r="A22" s="257" t="str">
        <f>IFERROR(AI2*W13*AC13+AG2,"")</f>
        <v/>
      </c>
      <c r="B22" s="258"/>
      <c r="C22" s="196" t="str">
        <f>IFERROR(INDEX(Master!$C$2:$C$7,MATCH(Form!K13,Master!$A$2:$A$7,0)),"")</f>
        <v/>
      </c>
      <c r="D22" s="197" t="str">
        <f>IF(F11="सरकार","",IFERROR(A22*C22/1000,""))</f>
        <v/>
      </c>
      <c r="E22" s="201"/>
      <c r="F22" s="201"/>
      <c r="G22" s="201"/>
      <c r="H22" s="244"/>
      <c r="I22" s="244"/>
      <c r="J22" s="197">
        <f>IF(F11="सरकार","",IFERROR(SUM(D22:G22),""))</f>
        <v>0</v>
      </c>
      <c r="K22" s="199"/>
      <c r="L22" s="199"/>
      <c r="M22" s="199"/>
      <c r="N22" s="199"/>
      <c r="O22" s="201"/>
      <c r="P22" s="238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39"/>
      <c r="AB22" s="239"/>
      <c r="AC22" s="239"/>
      <c r="AD22" s="281"/>
    </row>
    <row r="23" spans="1:38" s="147" customFormat="1" ht="10.9" customHeight="1">
      <c r="A23" s="309" t="str">
        <f>IFERROR(AI3*W14*AC14+AG3,"")</f>
        <v/>
      </c>
      <c r="B23" s="310"/>
      <c r="C23" s="202" t="str">
        <f>IFERROR(INDEX(Master!$C$2:$C$7,MATCH(Form!K14,Master!$A$2:$A$7,0)),"")</f>
        <v/>
      </c>
      <c r="D23" s="197" t="str">
        <f>IF(F11="सरकार","",IFERROR(A23*C23/1000,""))</f>
        <v/>
      </c>
      <c r="E23" s="199"/>
      <c r="F23" s="199"/>
      <c r="G23" s="199"/>
      <c r="H23" s="199"/>
      <c r="I23" s="199"/>
      <c r="J23" s="197">
        <f>IF(F11="सरकार","",IFERROR(SUM(D23:I23),""))</f>
        <v>0</v>
      </c>
      <c r="K23" s="199"/>
      <c r="L23" s="199"/>
      <c r="M23" s="199"/>
      <c r="N23" s="199"/>
      <c r="O23" s="201"/>
      <c r="P23" s="238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39"/>
      <c r="AB23" s="239"/>
      <c r="AC23" s="239"/>
      <c r="AD23" s="281"/>
    </row>
    <row r="24" spans="1:38" s="147" customFormat="1" ht="12.75" customHeight="1">
      <c r="A24" s="311">
        <f>IFERROR(S17*S12,"")</f>
        <v>23188.599681714175</v>
      </c>
      <c r="B24" s="312"/>
      <c r="C24" s="196" t="str">
        <f>IF(AND(ISNUMBER(A24), ISNUMBER(D24), A24&gt;0, D24&gt;0), "2", "")</f>
        <v>2</v>
      </c>
      <c r="D24" s="197">
        <f>IF(F11="सरकार","",IFERROR(A24*Master!C7/1000,""))</f>
        <v>46.377199363428353</v>
      </c>
      <c r="E24" s="199"/>
      <c r="F24" s="199"/>
      <c r="G24" s="199"/>
      <c r="H24" s="199"/>
      <c r="I24" s="199"/>
      <c r="J24" s="197">
        <f>IF(F11="सरकार","",IFERROR(SUM(D24:I24),""))</f>
        <v>46.377199363428353</v>
      </c>
      <c r="K24" s="199"/>
      <c r="L24" s="199"/>
      <c r="M24" s="199"/>
      <c r="N24" s="199"/>
      <c r="O24" s="201"/>
      <c r="P24" s="238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  <c r="AC24" s="239"/>
      <c r="AD24" s="281"/>
      <c r="AE24" s="149"/>
    </row>
    <row r="25" spans="1:38" s="147" customFormat="1">
      <c r="A25" s="313"/>
      <c r="B25" s="314"/>
      <c r="C25" s="203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201"/>
      <c r="P25" s="238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39"/>
      <c r="AB25" s="239"/>
      <c r="AC25" s="239"/>
      <c r="AD25" s="281"/>
    </row>
    <row r="26" spans="1:38" s="147" customFormat="1" ht="4.5" hidden="1" customHeight="1">
      <c r="A26" s="204"/>
      <c r="B26" s="203"/>
      <c r="C26" s="203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238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  <c r="AC26" s="239"/>
      <c r="AD26" s="281"/>
    </row>
    <row r="27" spans="1:38" s="147" customFormat="1">
      <c r="A27" s="285">
        <f>IFERROR(SUM(A21:B25),"")</f>
        <v>94124.718619906722</v>
      </c>
      <c r="B27" s="286"/>
      <c r="C27" s="315"/>
      <c r="D27" s="289">
        <f>IF(F11="सरकार","",IFERROR(SUM(D21:D25),""))</f>
        <v>96.032482620163137</v>
      </c>
      <c r="E27" s="291">
        <f>IFERROR(SUM(E21+E22),"")</f>
        <v>30</v>
      </c>
      <c r="F27" s="291">
        <f>IFERROR(SUM(F21+F22),"")</f>
        <v>30</v>
      </c>
      <c r="G27" s="291">
        <f>IFERROR(SUM(G21:G25),"")</f>
        <v>0</v>
      </c>
      <c r="H27" s="315"/>
      <c r="I27" s="315"/>
      <c r="J27" s="289">
        <f>IF(F11="सरकार","",IFERROR(SUM(D27:G28)," "))</f>
        <v>156.03248262016314</v>
      </c>
      <c r="K27" s="276"/>
      <c r="L27" s="276"/>
      <c r="M27" s="276"/>
      <c r="N27" s="276"/>
      <c r="O27" s="276"/>
      <c r="P27" s="238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81"/>
    </row>
    <row r="28" spans="1:38" ht="5.25" customHeight="1">
      <c r="A28" s="287"/>
      <c r="B28" s="288"/>
      <c r="C28" s="316"/>
      <c r="D28" s="290"/>
      <c r="E28" s="292"/>
      <c r="F28" s="292"/>
      <c r="G28" s="292"/>
      <c r="H28" s="316"/>
      <c r="I28" s="316"/>
      <c r="J28" s="290"/>
      <c r="K28" s="277"/>
      <c r="L28" s="277"/>
      <c r="M28" s="277"/>
      <c r="N28" s="277"/>
      <c r="O28" s="277"/>
      <c r="P28" s="282"/>
      <c r="Q28" s="283"/>
      <c r="R28" s="283"/>
      <c r="S28" s="283"/>
      <c r="T28" s="283"/>
      <c r="U28" s="283"/>
      <c r="V28" s="283"/>
      <c r="W28" s="283"/>
      <c r="X28" s="283"/>
      <c r="Y28" s="283"/>
      <c r="Z28" s="283"/>
      <c r="AA28" s="283"/>
      <c r="AB28" s="283"/>
      <c r="AC28" s="283"/>
      <c r="AD28" s="284"/>
    </row>
    <row r="29" spans="1:38">
      <c r="A29" s="321" t="s">
        <v>26</v>
      </c>
      <c r="B29" s="322"/>
      <c r="C29" s="323"/>
      <c r="D29" s="8" t="s">
        <v>38</v>
      </c>
      <c r="E29" s="205" t="s">
        <v>23</v>
      </c>
      <c r="F29" s="346" t="str">
        <f>IFERROR(VLOOKUP(A12,Datasheet!$1:$1048576,12,TRUE),"")</f>
        <v>राम</v>
      </c>
      <c r="G29" s="346"/>
      <c r="H29" s="391" t="s">
        <v>24</v>
      </c>
      <c r="I29" s="391"/>
      <c r="J29" s="346" t="str">
        <f>IFERROR(VLOOKUP(A12,Datasheet!$1:$1048576,13,TRUE),"")</f>
        <v>शाम</v>
      </c>
      <c r="K29" s="346"/>
      <c r="L29" s="346"/>
      <c r="M29" s="206" t="s">
        <v>25</v>
      </c>
      <c r="N29" s="346" t="str">
        <f>IFERROR(VLOOKUP(A12,Datasheet!$1:$1048576,14,TRUE),"")</f>
        <v>राहुल</v>
      </c>
      <c r="O29" s="346"/>
      <c r="P29" s="346"/>
      <c r="Q29" s="207" t="s">
        <v>184</v>
      </c>
      <c r="R29" s="142"/>
      <c r="S29" s="346" t="str">
        <f>IFERROR(VLOOKUP(A12,Datasheet!$1:$1048576,15,TRUE),"")</f>
        <v>बलराम</v>
      </c>
      <c r="T29" s="346"/>
      <c r="U29" s="346"/>
      <c r="V29" s="346"/>
      <c r="W29" s="346"/>
      <c r="X29" s="346"/>
      <c r="Y29" s="346"/>
      <c r="Z29" s="346"/>
      <c r="AA29" s="346"/>
      <c r="AB29" s="346"/>
      <c r="AC29" s="346"/>
      <c r="AD29" s="383"/>
    </row>
    <row r="30" spans="1:38">
      <c r="A30" s="240">
        <f>IFERROR(VLOOKUP(A12,Datasheet!$1:$1048576,28,TRUE),"")</f>
        <v>0</v>
      </c>
      <c r="B30" s="242"/>
      <c r="C30" s="241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5"/>
      <c r="X30" s="136"/>
      <c r="Y30" s="136"/>
      <c r="Z30" s="136"/>
      <c r="AA30" s="136"/>
      <c r="AB30" s="136"/>
      <c r="AC30" s="136"/>
      <c r="AD30" s="137"/>
    </row>
    <row r="31" spans="1:38">
      <c r="A31" s="135"/>
      <c r="B31" s="136"/>
      <c r="C31" s="137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8"/>
      <c r="X31" s="139"/>
      <c r="Y31" s="139"/>
      <c r="Z31" s="139"/>
      <c r="AA31" s="139"/>
      <c r="AB31" s="139"/>
      <c r="AC31" s="139"/>
      <c r="AD31" s="140"/>
    </row>
    <row r="32" spans="1:38">
      <c r="A32" s="138"/>
      <c r="B32" s="139"/>
      <c r="C32" s="140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8"/>
      <c r="X32" s="139"/>
      <c r="Y32" s="139"/>
      <c r="Z32" s="139"/>
      <c r="AA32" s="139"/>
      <c r="AB32" s="139"/>
      <c r="AC32" s="139"/>
      <c r="AD32" s="140"/>
    </row>
    <row r="33" spans="1:30" s="150" customFormat="1" ht="13.15" customHeight="1">
      <c r="A33" s="127"/>
      <c r="B33" s="128"/>
      <c r="C33" s="129"/>
      <c r="D33" s="128"/>
      <c r="E33" s="128" t="s">
        <v>81</v>
      </c>
      <c r="F33" s="128"/>
      <c r="G33" s="128"/>
      <c r="H33" s="128"/>
      <c r="I33" s="128" t="s">
        <v>27</v>
      </c>
      <c r="J33" s="128"/>
      <c r="K33" s="128"/>
      <c r="L33" s="128"/>
      <c r="M33" s="128"/>
      <c r="N33" s="141" t="s">
        <v>28</v>
      </c>
      <c r="O33" s="128"/>
      <c r="P33" s="128"/>
      <c r="Q33" s="128"/>
      <c r="R33" s="128"/>
      <c r="S33" s="128"/>
      <c r="T33" s="128"/>
      <c r="U33" s="128"/>
      <c r="V33" s="128"/>
      <c r="W33" s="127"/>
      <c r="X33" s="128"/>
      <c r="Y33" s="128"/>
      <c r="Z33" s="128"/>
      <c r="AA33" s="128"/>
      <c r="AB33" s="128"/>
      <c r="AC33" s="128"/>
      <c r="AD33" s="129"/>
    </row>
    <row r="34" spans="1:30" hidden="1"/>
    <row r="35" spans="1:30">
      <c r="I35" s="151" t="str">
        <f>NAME</f>
        <v xml:space="preserve">नैतिक राउत </v>
      </c>
    </row>
  </sheetData>
  <sheetProtection formatCells="0" selectLockedCells="1"/>
  <mergeCells count="110">
    <mergeCell ref="A29:C29"/>
    <mergeCell ref="A30:C30"/>
    <mergeCell ref="W2:Z5"/>
    <mergeCell ref="P18:AD19"/>
    <mergeCell ref="W11:AB11"/>
    <mergeCell ref="S29:AD29"/>
    <mergeCell ref="I8:J8"/>
    <mergeCell ref="I9:J9"/>
    <mergeCell ref="K8:N8"/>
    <mergeCell ref="K9:N9"/>
    <mergeCell ref="P16:R16"/>
    <mergeCell ref="P17:R17"/>
    <mergeCell ref="S16:U16"/>
    <mergeCell ref="S17:U17"/>
    <mergeCell ref="W16:AB16"/>
    <mergeCell ref="W17:AB17"/>
    <mergeCell ref="AC6:AC9"/>
    <mergeCell ref="V8:V9"/>
    <mergeCell ref="S7:AB7"/>
    <mergeCell ref="S8:U9"/>
    <mergeCell ref="S10:U10"/>
    <mergeCell ref="H29:I29"/>
    <mergeCell ref="J29:L29"/>
    <mergeCell ref="N29:P29"/>
    <mergeCell ref="F29:G29"/>
    <mergeCell ref="K13:N13"/>
    <mergeCell ref="K14:N14"/>
    <mergeCell ref="K15:N15"/>
    <mergeCell ref="F11:H14"/>
    <mergeCell ref="F15:H15"/>
    <mergeCell ref="F16:H16"/>
    <mergeCell ref="K11:N11"/>
    <mergeCell ref="H27:H28"/>
    <mergeCell ref="I27:I28"/>
    <mergeCell ref="J27:J28"/>
    <mergeCell ref="K27:K28"/>
    <mergeCell ref="G27:G28"/>
    <mergeCell ref="N27:N28"/>
    <mergeCell ref="I11:J14"/>
    <mergeCell ref="A1:AD1"/>
    <mergeCell ref="D18:J18"/>
    <mergeCell ref="K6:N7"/>
    <mergeCell ref="AD6:AD9"/>
    <mergeCell ref="K18:O18"/>
    <mergeCell ref="I6:J6"/>
    <mergeCell ref="I7:J7"/>
    <mergeCell ref="F6:H7"/>
    <mergeCell ref="A18:B18"/>
    <mergeCell ref="U2:U5"/>
    <mergeCell ref="N16:O16"/>
    <mergeCell ref="N17:O17"/>
    <mergeCell ref="O6:O9"/>
    <mergeCell ref="D2:F2"/>
    <mergeCell ref="D3:F3"/>
    <mergeCell ref="P10:R10"/>
    <mergeCell ref="P8:R8"/>
    <mergeCell ref="P6:R6"/>
    <mergeCell ref="P7:R7"/>
    <mergeCell ref="P9:R9"/>
    <mergeCell ref="W8:AB9"/>
    <mergeCell ref="W10:AB10"/>
    <mergeCell ref="D4:F4"/>
    <mergeCell ref="D5:F5"/>
    <mergeCell ref="O27:O28"/>
    <mergeCell ref="P21:AD28"/>
    <mergeCell ref="A27:B28"/>
    <mergeCell ref="D27:D28"/>
    <mergeCell ref="E27:E28"/>
    <mergeCell ref="F27:F28"/>
    <mergeCell ref="S6:AB6"/>
    <mergeCell ref="F17:H17"/>
    <mergeCell ref="C16:E16"/>
    <mergeCell ref="C17:E17"/>
    <mergeCell ref="B6:C6"/>
    <mergeCell ref="B7:C8"/>
    <mergeCell ref="B10:C10"/>
    <mergeCell ref="B12:C13"/>
    <mergeCell ref="F10:H10"/>
    <mergeCell ref="I10:J10"/>
    <mergeCell ref="K10:N10"/>
    <mergeCell ref="F8:H9"/>
    <mergeCell ref="A23:B23"/>
    <mergeCell ref="A24:B24"/>
    <mergeCell ref="A25:B25"/>
    <mergeCell ref="C27:C28"/>
    <mergeCell ref="L27:L28"/>
    <mergeCell ref="M27:M28"/>
    <mergeCell ref="H5:I5"/>
    <mergeCell ref="G4:T4"/>
    <mergeCell ref="A20:B20"/>
    <mergeCell ref="P20:AD20"/>
    <mergeCell ref="H21:H22"/>
    <mergeCell ref="I21:I22"/>
    <mergeCell ref="A2:C2"/>
    <mergeCell ref="A3:C3"/>
    <mergeCell ref="A4:C4"/>
    <mergeCell ref="A5:C5"/>
    <mergeCell ref="G2:T3"/>
    <mergeCell ref="K5:L5"/>
    <mergeCell ref="A19:B19"/>
    <mergeCell ref="K12:N12"/>
    <mergeCell ref="A21:B21"/>
    <mergeCell ref="A22:B22"/>
    <mergeCell ref="AA12:AB12"/>
    <mergeCell ref="AA13:AB13"/>
    <mergeCell ref="AA14:AB14"/>
    <mergeCell ref="AA15:AB15"/>
    <mergeCell ref="AB2:AB5"/>
    <mergeCell ref="AC2:AD5"/>
    <mergeCell ref="AD13:AD15"/>
  </mergeCells>
  <printOptions horizontalCentered="1" verticalCentered="1"/>
  <pageMargins left="0.98425196850393704" right="0.31496062992125984" top="0.74803149606299213" bottom="0.74803149606299213" header="0.31496062992125984" footer="0.31496062992125984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QR_PDFs_FormRefresh_Adjustable">
                <anchor moveWithCells="1" sizeWithCells="1">
                  <from>
                    <xdr:col>31</xdr:col>
                    <xdr:colOff>228600</xdr:colOff>
                    <xdr:row>9</xdr:row>
                    <xdr:rowOff>85725</xdr:rowOff>
                  </from>
                  <to>
                    <xdr:col>34</xdr:col>
                    <xdr:colOff>514350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Datasheet!$A$2:$A$1048576</xm:f>
          </x14:formula1>
          <xm:sqref>A12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50"/>
  <sheetViews>
    <sheetView showZeros="0" zoomScaleNormal="100" workbookViewId="0">
      <selection activeCell="E8" sqref="E8"/>
    </sheetView>
  </sheetViews>
  <sheetFormatPr defaultColWidth="9.125" defaultRowHeight="14.25"/>
  <cols>
    <col min="1" max="1" width="5.75" style="152" customWidth="1"/>
    <col min="2" max="2" width="19.625" style="152" customWidth="1"/>
    <col min="3" max="3" width="23.25" style="152" customWidth="1"/>
    <col min="4" max="4" width="10.25" style="152" customWidth="1"/>
    <col min="5" max="5" width="15.125" style="152" customWidth="1"/>
    <col min="6" max="6" width="7.125" style="152" customWidth="1"/>
    <col min="7" max="7" width="8" style="152" customWidth="1"/>
    <col min="8" max="8" width="32.375" style="152" customWidth="1"/>
    <col min="9" max="9" width="6.875" style="152" customWidth="1"/>
    <col min="10" max="10" width="7" style="152" customWidth="1"/>
    <col min="11" max="11" width="13.125" style="152" customWidth="1"/>
    <col min="12" max="12" width="18.625" style="152" customWidth="1"/>
    <col min="13" max="13" width="14.75" style="152" customWidth="1"/>
    <col min="14" max="14" width="22.75" style="152" customWidth="1"/>
    <col min="15" max="15" width="26.875" style="152" customWidth="1"/>
    <col min="16" max="16" width="19.125" style="235" customWidth="1"/>
    <col min="17" max="17" width="17.875" style="235" customWidth="1"/>
    <col min="18" max="18" width="16.375" style="235" customWidth="1"/>
    <col min="19" max="19" width="14.75" style="235" customWidth="1"/>
    <col min="20" max="20" width="31.625" style="235" customWidth="1"/>
    <col min="21" max="21" width="16.375" style="235" customWidth="1"/>
    <col min="22" max="22" width="9.875" style="235" customWidth="1"/>
    <col min="23" max="23" width="18.875" style="235" customWidth="1"/>
    <col min="24" max="24" width="10.75" style="235" customWidth="1"/>
    <col min="25" max="25" width="19" style="235" customWidth="1"/>
    <col min="26" max="38" width="9.125" style="235"/>
    <col min="39" max="16384" width="9.125" style="152"/>
  </cols>
  <sheetData>
    <row r="1" spans="1:38" s="450" customFormat="1" ht="63.75" customHeight="1">
      <c r="A1" s="447" t="s">
        <v>40</v>
      </c>
      <c r="B1" s="448" t="s">
        <v>195</v>
      </c>
      <c r="C1" s="449" t="s">
        <v>196</v>
      </c>
      <c r="D1" s="449" t="s">
        <v>197</v>
      </c>
      <c r="E1" s="449" t="s">
        <v>212</v>
      </c>
      <c r="F1" s="447" t="s">
        <v>78</v>
      </c>
      <c r="G1" s="447" t="s">
        <v>41</v>
      </c>
      <c r="H1" s="452" t="s">
        <v>198</v>
      </c>
      <c r="I1" s="447" t="s">
        <v>78</v>
      </c>
      <c r="J1" s="447" t="s">
        <v>41</v>
      </c>
      <c r="K1" s="447" t="s">
        <v>79</v>
      </c>
      <c r="L1" s="447" t="s">
        <v>80</v>
      </c>
      <c r="M1" s="447" t="s">
        <v>43</v>
      </c>
      <c r="N1" s="447" t="s">
        <v>44</v>
      </c>
      <c r="O1" s="447" t="s">
        <v>45</v>
      </c>
      <c r="P1" s="453" t="s">
        <v>198</v>
      </c>
      <c r="Q1" s="451" t="s">
        <v>182</v>
      </c>
      <c r="R1" s="451" t="s">
        <v>41</v>
      </c>
      <c r="S1" s="451" t="s">
        <v>79</v>
      </c>
      <c r="T1" s="451" t="s">
        <v>42</v>
      </c>
      <c r="U1" s="451" t="s">
        <v>78</v>
      </c>
      <c r="V1" s="451" t="s">
        <v>41</v>
      </c>
      <c r="W1" s="451" t="s">
        <v>79</v>
      </c>
      <c r="X1" s="451"/>
      <c r="Y1" s="453" t="s">
        <v>322</v>
      </c>
      <c r="Z1" s="453" t="s">
        <v>323</v>
      </c>
      <c r="AA1" s="451"/>
      <c r="AB1" s="453" t="s">
        <v>324</v>
      </c>
      <c r="AC1" s="451"/>
      <c r="AD1" s="453" t="s">
        <v>325</v>
      </c>
      <c r="AE1" s="451"/>
      <c r="AF1" s="451"/>
      <c r="AG1" s="451"/>
      <c r="AH1" s="451"/>
      <c r="AI1" s="451"/>
      <c r="AJ1" s="451"/>
      <c r="AK1" s="451"/>
      <c r="AL1" s="451"/>
    </row>
    <row r="2" spans="1:38">
      <c r="A2" s="152">
        <v>1</v>
      </c>
      <c r="B2" s="152">
        <v>1</v>
      </c>
      <c r="C2" s="152" t="s">
        <v>188</v>
      </c>
      <c r="D2" s="152" t="s">
        <v>189</v>
      </c>
      <c r="E2" s="152" t="s">
        <v>190</v>
      </c>
      <c r="F2" s="234">
        <v>22</v>
      </c>
      <c r="G2" s="234">
        <v>22</v>
      </c>
      <c r="H2" s="152" t="s">
        <v>75</v>
      </c>
      <c r="I2" s="152">
        <v>10</v>
      </c>
      <c r="J2" s="152">
        <v>10</v>
      </c>
      <c r="K2" s="152">
        <v>2010</v>
      </c>
      <c r="L2" s="152" t="s">
        <v>191</v>
      </c>
      <c r="M2" s="152" t="s">
        <v>192</v>
      </c>
      <c r="N2" s="152" t="s">
        <v>193</v>
      </c>
      <c r="O2" s="152" t="s">
        <v>194</v>
      </c>
      <c r="Z2" s="235" t="s">
        <v>84</v>
      </c>
    </row>
    <row r="3" spans="1:38">
      <c r="A3" s="152">
        <v>2</v>
      </c>
      <c r="B3" s="152">
        <v>2</v>
      </c>
      <c r="C3" s="152" t="s">
        <v>213</v>
      </c>
      <c r="E3" s="152" t="s">
        <v>190</v>
      </c>
      <c r="F3" s="234">
        <v>41</v>
      </c>
      <c r="G3" s="234">
        <v>30</v>
      </c>
      <c r="H3" s="152" t="s">
        <v>83</v>
      </c>
      <c r="I3" s="152">
        <v>12</v>
      </c>
      <c r="J3" s="152">
        <v>24</v>
      </c>
      <c r="K3" s="152">
        <v>2019</v>
      </c>
      <c r="L3" s="152" t="s">
        <v>222</v>
      </c>
      <c r="M3" s="152" t="s">
        <v>234</v>
      </c>
      <c r="N3" s="152" t="s">
        <v>235</v>
      </c>
      <c r="O3" s="152" t="s">
        <v>236</v>
      </c>
    </row>
    <row r="4" spans="1:38">
      <c r="A4" s="152">
        <v>3</v>
      </c>
      <c r="B4" s="152">
        <v>3</v>
      </c>
      <c r="C4" s="152" t="s">
        <v>214</v>
      </c>
      <c r="D4" s="152" t="s">
        <v>215</v>
      </c>
      <c r="E4" s="152" t="s">
        <v>190</v>
      </c>
      <c r="F4" s="234">
        <v>18</v>
      </c>
      <c r="G4" s="234">
        <v>44</v>
      </c>
      <c r="H4" s="152" t="s">
        <v>83</v>
      </c>
      <c r="I4" s="152">
        <v>12</v>
      </c>
      <c r="J4" s="152">
        <v>24</v>
      </c>
      <c r="K4" s="152">
        <v>2018</v>
      </c>
      <c r="L4" s="152" t="s">
        <v>222</v>
      </c>
      <c r="M4" s="152" t="s">
        <v>234</v>
      </c>
      <c r="N4" s="152" t="s">
        <v>235</v>
      </c>
      <c r="O4" s="152" t="s">
        <v>236</v>
      </c>
    </row>
    <row r="5" spans="1:38">
      <c r="A5" s="152">
        <v>4</v>
      </c>
      <c r="B5" s="152">
        <v>4</v>
      </c>
      <c r="C5" s="152" t="s">
        <v>216</v>
      </c>
      <c r="D5" s="152" t="s">
        <v>217</v>
      </c>
      <c r="E5" s="152" t="s">
        <v>190</v>
      </c>
      <c r="F5" s="234">
        <v>15</v>
      </c>
      <c r="G5" s="234">
        <v>41</v>
      </c>
      <c r="H5" s="152" t="s">
        <v>83</v>
      </c>
      <c r="I5" s="152">
        <v>12</v>
      </c>
      <c r="J5" s="152">
        <v>24</v>
      </c>
      <c r="K5" s="152">
        <v>2019</v>
      </c>
      <c r="L5" s="152" t="s">
        <v>222</v>
      </c>
      <c r="M5" s="152" t="s">
        <v>234</v>
      </c>
      <c r="N5" s="152" t="s">
        <v>235</v>
      </c>
      <c r="O5" s="152" t="s">
        <v>236</v>
      </c>
    </row>
    <row r="6" spans="1:38">
      <c r="A6" s="152">
        <v>5</v>
      </c>
      <c r="B6" s="152">
        <v>5</v>
      </c>
      <c r="C6" s="152" t="s">
        <v>218</v>
      </c>
      <c r="E6" s="152" t="s">
        <v>190</v>
      </c>
      <c r="F6" s="234">
        <v>34</v>
      </c>
      <c r="G6" s="234">
        <v>38</v>
      </c>
      <c r="H6" s="152" t="s">
        <v>83</v>
      </c>
      <c r="I6" s="152">
        <v>12</v>
      </c>
      <c r="J6" s="152">
        <v>10</v>
      </c>
      <c r="K6" s="152">
        <v>2017</v>
      </c>
      <c r="L6" s="152" t="s">
        <v>226</v>
      </c>
      <c r="M6" s="152" t="s">
        <v>222</v>
      </c>
      <c r="N6" s="152" t="s">
        <v>261</v>
      </c>
      <c r="O6" s="152" t="s">
        <v>262</v>
      </c>
    </row>
    <row r="7" spans="1:38">
      <c r="A7" s="152">
        <v>6</v>
      </c>
      <c r="B7" s="152">
        <v>6</v>
      </c>
      <c r="C7" s="152" t="s">
        <v>219</v>
      </c>
      <c r="D7" s="152" t="s">
        <v>220</v>
      </c>
      <c r="E7" s="152" t="s">
        <v>190</v>
      </c>
      <c r="F7" s="234">
        <v>33</v>
      </c>
      <c r="G7" s="234">
        <v>33</v>
      </c>
      <c r="H7" s="152" t="s">
        <v>83</v>
      </c>
      <c r="I7" s="152">
        <v>15</v>
      </c>
      <c r="J7" s="152">
        <v>30</v>
      </c>
      <c r="K7" s="152">
        <v>2011</v>
      </c>
      <c r="L7" s="152" t="s">
        <v>221</v>
      </c>
      <c r="M7" s="152" t="s">
        <v>222</v>
      </c>
      <c r="N7" s="152" t="s">
        <v>223</v>
      </c>
      <c r="O7" s="152" t="s">
        <v>222</v>
      </c>
    </row>
    <row r="8" spans="1:38">
      <c r="A8" s="152">
        <v>7</v>
      </c>
      <c r="B8" s="152">
        <v>7</v>
      </c>
      <c r="C8" s="152" t="s">
        <v>224</v>
      </c>
      <c r="D8" s="152" t="s">
        <v>225</v>
      </c>
      <c r="E8" s="152" t="s">
        <v>190</v>
      </c>
      <c r="F8" s="234">
        <v>56</v>
      </c>
      <c r="G8" s="234">
        <v>44</v>
      </c>
      <c r="H8" s="152" t="s">
        <v>83</v>
      </c>
      <c r="I8" s="152">
        <v>12</v>
      </c>
      <c r="J8" s="152">
        <v>24</v>
      </c>
      <c r="K8" s="152">
        <v>1995</v>
      </c>
      <c r="L8" s="152" t="s">
        <v>226</v>
      </c>
      <c r="M8" s="152" t="s">
        <v>227</v>
      </c>
      <c r="N8" s="152" t="s">
        <v>226</v>
      </c>
      <c r="O8" s="152" t="s">
        <v>228</v>
      </c>
    </row>
    <row r="9" spans="1:38">
      <c r="A9" s="152">
        <v>8</v>
      </c>
      <c r="B9" s="152">
        <v>8</v>
      </c>
      <c r="C9" s="152" t="s">
        <v>229</v>
      </c>
      <c r="E9" s="152" t="s">
        <v>190</v>
      </c>
      <c r="F9" s="152">
        <v>30</v>
      </c>
      <c r="G9" s="152">
        <v>63</v>
      </c>
      <c r="H9" s="152" t="s">
        <v>75</v>
      </c>
      <c r="I9" s="152">
        <v>30</v>
      </c>
      <c r="J9" s="152">
        <v>20</v>
      </c>
      <c r="K9" s="152">
        <v>1990</v>
      </c>
      <c r="L9" s="152" t="s">
        <v>222</v>
      </c>
      <c r="M9" s="152" t="s">
        <v>230</v>
      </c>
      <c r="N9" s="152" t="s">
        <v>227</v>
      </c>
      <c r="O9" s="152" t="s">
        <v>222</v>
      </c>
    </row>
    <row r="10" spans="1:38">
      <c r="A10" s="152">
        <v>9</v>
      </c>
      <c r="B10" s="152" t="s">
        <v>231</v>
      </c>
      <c r="C10" s="152" t="s">
        <v>232</v>
      </c>
      <c r="E10" s="152" t="s">
        <v>190</v>
      </c>
      <c r="F10" s="152">
        <v>29</v>
      </c>
      <c r="G10" s="152">
        <v>22</v>
      </c>
      <c r="H10" s="152" t="s">
        <v>83</v>
      </c>
      <c r="I10" s="152">
        <v>30</v>
      </c>
      <c r="J10" s="152">
        <v>12</v>
      </c>
      <c r="K10" s="152">
        <v>2001</v>
      </c>
      <c r="L10" s="152" t="s">
        <v>222</v>
      </c>
      <c r="M10" s="152" t="s">
        <v>230</v>
      </c>
      <c r="N10" s="152" t="s">
        <v>227</v>
      </c>
      <c r="O10" s="152" t="s">
        <v>222</v>
      </c>
      <c r="Z10" s="235" t="s">
        <v>84</v>
      </c>
    </row>
    <row r="11" spans="1:38">
      <c r="A11" s="152">
        <v>10</v>
      </c>
      <c r="B11" s="152">
        <v>9</v>
      </c>
      <c r="C11" s="152" t="s">
        <v>233</v>
      </c>
      <c r="E11" s="152" t="s">
        <v>190</v>
      </c>
      <c r="F11" s="152">
        <v>17</v>
      </c>
      <c r="G11" s="152">
        <v>40</v>
      </c>
      <c r="H11" s="152" t="s">
        <v>83</v>
      </c>
      <c r="I11" s="152">
        <v>12</v>
      </c>
      <c r="J11" s="152">
        <v>24</v>
      </c>
      <c r="K11" s="152">
        <v>2015</v>
      </c>
      <c r="L11" s="152" t="s">
        <v>222</v>
      </c>
      <c r="M11" s="152" t="s">
        <v>234</v>
      </c>
      <c r="N11" s="152" t="s">
        <v>235</v>
      </c>
      <c r="O11" s="152" t="s">
        <v>236</v>
      </c>
      <c r="Z11" s="235" t="s">
        <v>84</v>
      </c>
    </row>
    <row r="12" spans="1:38">
      <c r="A12" s="152">
        <v>11</v>
      </c>
      <c r="B12" s="152" t="s">
        <v>237</v>
      </c>
      <c r="C12" s="152" t="s">
        <v>238</v>
      </c>
      <c r="E12" s="152" t="s">
        <v>190</v>
      </c>
      <c r="F12" s="152">
        <v>17</v>
      </c>
      <c r="G12" s="152">
        <v>40</v>
      </c>
      <c r="H12" s="152" t="s">
        <v>83</v>
      </c>
      <c r="I12" s="152">
        <v>12</v>
      </c>
      <c r="J12" s="152">
        <v>24</v>
      </c>
      <c r="K12" s="152">
        <v>2015</v>
      </c>
      <c r="L12" s="152" t="s">
        <v>222</v>
      </c>
      <c r="M12" s="152" t="s">
        <v>234</v>
      </c>
      <c r="N12" s="152" t="s">
        <v>235</v>
      </c>
      <c r="O12" s="152" t="s">
        <v>236</v>
      </c>
      <c r="Z12" s="235" t="s">
        <v>84</v>
      </c>
    </row>
    <row r="13" spans="1:38">
      <c r="A13" s="152">
        <v>12</v>
      </c>
      <c r="B13" s="152" t="s">
        <v>239</v>
      </c>
      <c r="C13" s="152" t="s">
        <v>240</v>
      </c>
      <c r="D13" s="152" t="s">
        <v>241</v>
      </c>
      <c r="E13" s="152" t="s">
        <v>190</v>
      </c>
      <c r="F13" s="152">
        <v>17</v>
      </c>
      <c r="G13" s="152">
        <v>40</v>
      </c>
      <c r="H13" s="152" t="s">
        <v>83</v>
      </c>
      <c r="I13" s="152">
        <v>12</v>
      </c>
      <c r="J13" s="152">
        <v>24</v>
      </c>
      <c r="K13" s="152">
        <v>2015</v>
      </c>
      <c r="L13" s="152" t="s">
        <v>222</v>
      </c>
      <c r="M13" s="152" t="s">
        <v>234</v>
      </c>
      <c r="N13" s="152" t="s">
        <v>235</v>
      </c>
      <c r="O13" s="152" t="s">
        <v>236</v>
      </c>
      <c r="Z13" s="235" t="s">
        <v>84</v>
      </c>
    </row>
    <row r="14" spans="1:38">
      <c r="A14" s="152">
        <v>13</v>
      </c>
      <c r="B14" s="152" t="s">
        <v>242</v>
      </c>
      <c r="C14" s="152" t="s">
        <v>243</v>
      </c>
      <c r="E14" s="152" t="s">
        <v>190</v>
      </c>
      <c r="F14" s="152">
        <v>17</v>
      </c>
      <c r="G14" s="152">
        <v>40</v>
      </c>
      <c r="H14" s="152" t="s">
        <v>94</v>
      </c>
      <c r="Z14" s="235" t="s">
        <v>84</v>
      </c>
    </row>
    <row r="15" spans="1:38">
      <c r="A15" s="152">
        <v>14</v>
      </c>
      <c r="B15" s="152">
        <v>10</v>
      </c>
      <c r="C15" s="152" t="s">
        <v>244</v>
      </c>
      <c r="D15" s="152" t="s">
        <v>245</v>
      </c>
      <c r="E15" s="152" t="s">
        <v>190</v>
      </c>
      <c r="F15" s="152">
        <v>49</v>
      </c>
      <c r="G15" s="152">
        <v>46</v>
      </c>
      <c r="H15" s="152" t="s">
        <v>83</v>
      </c>
      <c r="I15" s="152">
        <v>33</v>
      </c>
      <c r="J15" s="152">
        <v>25</v>
      </c>
      <c r="K15" s="152">
        <v>1995</v>
      </c>
      <c r="L15" s="152" t="s">
        <v>246</v>
      </c>
      <c r="M15" s="152" t="s">
        <v>247</v>
      </c>
      <c r="N15" s="152" t="s">
        <v>235</v>
      </c>
      <c r="O15" s="152" t="s">
        <v>222</v>
      </c>
      <c r="Z15" s="235" t="s">
        <v>84</v>
      </c>
    </row>
    <row r="16" spans="1:38">
      <c r="A16" s="152">
        <v>15</v>
      </c>
      <c r="B16" s="152">
        <v>11</v>
      </c>
      <c r="C16" s="152" t="s">
        <v>248</v>
      </c>
      <c r="D16" s="152" t="s">
        <v>249</v>
      </c>
      <c r="E16" s="152" t="s">
        <v>190</v>
      </c>
      <c r="F16" s="152">
        <v>21</v>
      </c>
      <c r="G16" s="152">
        <v>24</v>
      </c>
      <c r="H16" s="152" t="s">
        <v>94</v>
      </c>
      <c r="L16" s="152" t="s">
        <v>250</v>
      </c>
      <c r="M16" s="152" t="s">
        <v>251</v>
      </c>
      <c r="N16" s="152" t="s">
        <v>252</v>
      </c>
      <c r="O16" s="152" t="s">
        <v>253</v>
      </c>
      <c r="Z16" s="235" t="s">
        <v>84</v>
      </c>
    </row>
    <row r="17" spans="1:26">
      <c r="A17" s="152">
        <v>16</v>
      </c>
      <c r="B17" s="152">
        <v>12</v>
      </c>
      <c r="C17" s="152" t="s">
        <v>254</v>
      </c>
      <c r="E17" s="152" t="s">
        <v>190</v>
      </c>
      <c r="F17" s="152">
        <v>46</v>
      </c>
      <c r="G17" s="152">
        <v>37</v>
      </c>
      <c r="H17" s="152" t="s">
        <v>94</v>
      </c>
      <c r="Z17" s="235" t="s">
        <v>84</v>
      </c>
    </row>
    <row r="18" spans="1:26">
      <c r="A18" s="152">
        <v>17</v>
      </c>
      <c r="B18" s="152">
        <v>13</v>
      </c>
      <c r="C18" s="152" t="s">
        <v>255</v>
      </c>
      <c r="D18" s="152" t="s">
        <v>256</v>
      </c>
      <c r="E18" s="152" t="s">
        <v>190</v>
      </c>
      <c r="F18" s="152">
        <v>60</v>
      </c>
      <c r="G18" s="152">
        <v>27</v>
      </c>
      <c r="H18" s="152" t="s">
        <v>83</v>
      </c>
      <c r="I18" s="152">
        <v>12</v>
      </c>
      <c r="J18" s="152">
        <v>24</v>
      </c>
      <c r="K18" s="152">
        <v>1999</v>
      </c>
      <c r="L18" s="152" t="s">
        <v>226</v>
      </c>
      <c r="M18" s="152" t="s">
        <v>222</v>
      </c>
      <c r="N18" s="152" t="s">
        <v>257</v>
      </c>
      <c r="O18" s="152" t="s">
        <v>258</v>
      </c>
      <c r="Z18" s="235" t="s">
        <v>84</v>
      </c>
    </row>
    <row r="19" spans="1:26">
      <c r="A19" s="152">
        <v>18</v>
      </c>
      <c r="B19" s="152">
        <v>14</v>
      </c>
      <c r="C19" s="152" t="s">
        <v>259</v>
      </c>
      <c r="D19" s="152" t="s">
        <v>260</v>
      </c>
      <c r="E19" s="152" t="s">
        <v>190</v>
      </c>
      <c r="F19" s="152">
        <v>60</v>
      </c>
      <c r="G19" s="152">
        <v>14</v>
      </c>
      <c r="H19" s="152" t="s">
        <v>83</v>
      </c>
      <c r="I19" s="152">
        <v>20</v>
      </c>
      <c r="J19" s="152">
        <v>24</v>
      </c>
      <c r="K19" s="152">
        <v>1998</v>
      </c>
      <c r="L19" s="152" t="s">
        <v>226</v>
      </c>
      <c r="M19" s="152" t="s">
        <v>222</v>
      </c>
      <c r="N19" s="152" t="s">
        <v>261</v>
      </c>
      <c r="O19" s="152" t="s">
        <v>262</v>
      </c>
      <c r="Z19" s="235" t="s">
        <v>84</v>
      </c>
    </row>
    <row r="20" spans="1:26">
      <c r="A20" s="152">
        <v>19</v>
      </c>
      <c r="B20" s="152" t="s">
        <v>263</v>
      </c>
      <c r="C20" s="152" t="s">
        <v>264</v>
      </c>
      <c r="E20" s="152" t="s">
        <v>190</v>
      </c>
      <c r="F20" s="152">
        <v>60</v>
      </c>
      <c r="G20" s="152">
        <v>15</v>
      </c>
      <c r="H20" s="152" t="s">
        <v>77</v>
      </c>
      <c r="I20" s="152">
        <v>24</v>
      </c>
      <c r="J20" s="152">
        <v>16</v>
      </c>
      <c r="K20" s="152">
        <v>2019</v>
      </c>
      <c r="Z20" s="235" t="s">
        <v>84</v>
      </c>
    </row>
    <row r="21" spans="1:26">
      <c r="A21" s="152">
        <v>20</v>
      </c>
      <c r="B21" s="152">
        <v>15</v>
      </c>
      <c r="C21" s="152" t="s">
        <v>265</v>
      </c>
      <c r="E21" s="152" t="s">
        <v>190</v>
      </c>
      <c r="F21" s="152">
        <v>23</v>
      </c>
      <c r="G21" s="152">
        <v>29</v>
      </c>
      <c r="H21" s="152" t="s">
        <v>83</v>
      </c>
      <c r="I21" s="152">
        <v>12</v>
      </c>
      <c r="J21" s="152">
        <v>24</v>
      </c>
      <c r="K21" s="152">
        <v>2022</v>
      </c>
      <c r="L21" s="152" t="s">
        <v>226</v>
      </c>
      <c r="M21" s="152" t="s">
        <v>222</v>
      </c>
      <c r="N21" s="152" t="s">
        <v>266</v>
      </c>
      <c r="O21" s="152" t="s">
        <v>267</v>
      </c>
      <c r="Z21" s="235" t="s">
        <v>84</v>
      </c>
    </row>
    <row r="22" spans="1:26">
      <c r="A22" s="152">
        <v>21</v>
      </c>
      <c r="B22" s="152" t="s">
        <v>268</v>
      </c>
      <c r="C22" s="152" t="s">
        <v>269</v>
      </c>
      <c r="E22" s="152" t="s">
        <v>190</v>
      </c>
      <c r="F22" s="152">
        <v>30</v>
      </c>
      <c r="G22" s="152">
        <v>29</v>
      </c>
      <c r="H22" s="152" t="s">
        <v>83</v>
      </c>
      <c r="I22" s="152">
        <v>12</v>
      </c>
      <c r="J22" s="152">
        <v>24</v>
      </c>
      <c r="K22" s="152">
        <v>2024</v>
      </c>
      <c r="Z22" s="235" t="s">
        <v>84</v>
      </c>
    </row>
    <row r="23" spans="1:26">
      <c r="A23" s="152">
        <v>22</v>
      </c>
      <c r="B23" s="152">
        <v>16</v>
      </c>
      <c r="C23" s="152" t="s">
        <v>270</v>
      </c>
      <c r="D23" s="152" t="s">
        <v>271</v>
      </c>
      <c r="E23" s="152" t="s">
        <v>190</v>
      </c>
      <c r="F23" s="152">
        <v>53</v>
      </c>
      <c r="G23" s="152">
        <v>29</v>
      </c>
      <c r="H23" s="152" t="s">
        <v>83</v>
      </c>
      <c r="I23" s="152">
        <v>12</v>
      </c>
      <c r="J23" s="152">
        <v>24</v>
      </c>
      <c r="K23" s="152">
        <v>2024</v>
      </c>
      <c r="L23" s="152" t="s">
        <v>226</v>
      </c>
      <c r="M23" s="152" t="s">
        <v>222</v>
      </c>
      <c r="N23" s="152" t="s">
        <v>272</v>
      </c>
      <c r="O23" s="152" t="s">
        <v>273</v>
      </c>
      <c r="Z23" s="235" t="s">
        <v>84</v>
      </c>
    </row>
    <row r="24" spans="1:26">
      <c r="A24" s="152">
        <v>23</v>
      </c>
      <c r="B24" s="152">
        <v>17</v>
      </c>
      <c r="C24" s="152" t="s">
        <v>274</v>
      </c>
      <c r="D24" s="152" t="s">
        <v>275</v>
      </c>
      <c r="E24" s="152" t="s">
        <v>190</v>
      </c>
      <c r="F24" s="152">
        <v>32</v>
      </c>
      <c r="G24" s="152">
        <v>18</v>
      </c>
      <c r="H24" s="152" t="s">
        <v>83</v>
      </c>
      <c r="I24" s="152">
        <v>24</v>
      </c>
      <c r="J24" s="152">
        <v>15</v>
      </c>
      <c r="K24" s="152">
        <v>2023</v>
      </c>
      <c r="L24" s="152" t="s">
        <v>226</v>
      </c>
      <c r="M24" s="152" t="s">
        <v>222</v>
      </c>
      <c r="N24" s="152" t="s">
        <v>276</v>
      </c>
      <c r="O24" s="152" t="s">
        <v>277</v>
      </c>
      <c r="Z24" s="235" t="s">
        <v>84</v>
      </c>
    </row>
    <row r="25" spans="1:26">
      <c r="A25" s="152">
        <v>24</v>
      </c>
      <c r="B25" s="152" t="s">
        <v>278</v>
      </c>
      <c r="C25" s="152" t="s">
        <v>279</v>
      </c>
      <c r="D25" s="152" t="s">
        <v>280</v>
      </c>
      <c r="E25" s="152" t="s">
        <v>190</v>
      </c>
      <c r="F25" s="152">
        <v>32</v>
      </c>
      <c r="G25" s="152">
        <v>18</v>
      </c>
      <c r="H25" s="152" t="s">
        <v>83</v>
      </c>
      <c r="I25" s="152">
        <v>24</v>
      </c>
      <c r="J25" s="152">
        <v>15</v>
      </c>
      <c r="K25" s="152">
        <v>2024</v>
      </c>
      <c r="L25" s="152" t="s">
        <v>226</v>
      </c>
      <c r="M25" s="152" t="s">
        <v>222</v>
      </c>
      <c r="N25" s="152" t="s">
        <v>281</v>
      </c>
      <c r="O25" s="152" t="s">
        <v>282</v>
      </c>
      <c r="Z25" s="235" t="s">
        <v>84</v>
      </c>
    </row>
    <row r="26" spans="1:26">
      <c r="A26" s="152">
        <v>25</v>
      </c>
      <c r="B26" s="152">
        <v>18</v>
      </c>
      <c r="C26" s="152" t="s">
        <v>283</v>
      </c>
      <c r="E26" s="152" t="s">
        <v>190</v>
      </c>
      <c r="F26" s="152">
        <v>20</v>
      </c>
      <c r="G26" s="152">
        <v>10</v>
      </c>
      <c r="H26" s="152" t="s">
        <v>77</v>
      </c>
      <c r="I26" s="152">
        <v>20</v>
      </c>
      <c r="J26" s="152">
        <v>10</v>
      </c>
      <c r="K26" s="152">
        <v>2009</v>
      </c>
      <c r="Z26" s="235" t="s">
        <v>84</v>
      </c>
    </row>
    <row r="27" spans="1:26">
      <c r="A27" s="152">
        <v>26</v>
      </c>
      <c r="B27" s="152" t="s">
        <v>284</v>
      </c>
      <c r="C27" s="152" t="s">
        <v>285</v>
      </c>
      <c r="E27" s="152" t="s">
        <v>190</v>
      </c>
      <c r="F27" s="152">
        <v>9</v>
      </c>
      <c r="G27" s="152">
        <v>20</v>
      </c>
      <c r="H27" s="152" t="s">
        <v>75</v>
      </c>
      <c r="I27" s="152">
        <v>9</v>
      </c>
      <c r="J27" s="152">
        <v>20</v>
      </c>
      <c r="K27" s="152">
        <v>2009</v>
      </c>
      <c r="Z27" s="235" t="s">
        <v>84</v>
      </c>
    </row>
    <row r="28" spans="1:26">
      <c r="A28" s="152">
        <v>27</v>
      </c>
      <c r="B28" s="152" t="s">
        <v>286</v>
      </c>
      <c r="C28" s="152" t="s">
        <v>287</v>
      </c>
      <c r="E28" s="152" t="s">
        <v>190</v>
      </c>
      <c r="F28" s="152">
        <v>25</v>
      </c>
      <c r="G28" s="152">
        <v>16</v>
      </c>
      <c r="H28" s="152" t="s">
        <v>83</v>
      </c>
      <c r="I28" s="152">
        <v>25</v>
      </c>
      <c r="J28" s="152">
        <v>13</v>
      </c>
      <c r="K28" s="152">
        <v>2021</v>
      </c>
      <c r="Z28" s="235" t="s">
        <v>84</v>
      </c>
    </row>
    <row r="29" spans="1:26">
      <c r="A29" s="152">
        <v>28</v>
      </c>
      <c r="B29" s="152">
        <v>19</v>
      </c>
      <c r="C29" s="152" t="s">
        <v>288</v>
      </c>
      <c r="E29" s="152" t="s">
        <v>190</v>
      </c>
      <c r="F29" s="152">
        <v>39</v>
      </c>
      <c r="G29" s="152">
        <v>32</v>
      </c>
      <c r="H29" s="152" t="s">
        <v>76</v>
      </c>
      <c r="I29" s="152">
        <v>20</v>
      </c>
      <c r="J29" s="152">
        <v>20</v>
      </c>
      <c r="K29" s="152">
        <v>2001</v>
      </c>
      <c r="L29" s="152" t="s">
        <v>226</v>
      </c>
      <c r="M29" s="152" t="s">
        <v>222</v>
      </c>
      <c r="N29" s="152" t="s">
        <v>289</v>
      </c>
      <c r="O29" s="152" t="s">
        <v>290</v>
      </c>
      <c r="Z29" s="235" t="s">
        <v>84</v>
      </c>
    </row>
    <row r="30" spans="1:26">
      <c r="A30" s="152">
        <v>29</v>
      </c>
      <c r="B30" s="152" t="s">
        <v>291</v>
      </c>
      <c r="C30" s="152" t="s">
        <v>288</v>
      </c>
      <c r="D30" s="152" t="s">
        <v>292</v>
      </c>
      <c r="E30" s="152" t="s">
        <v>190</v>
      </c>
      <c r="F30" s="152">
        <v>55</v>
      </c>
      <c r="G30" s="152">
        <v>102</v>
      </c>
      <c r="H30" s="152" t="s">
        <v>83</v>
      </c>
      <c r="I30" s="152">
        <v>20</v>
      </c>
      <c r="J30" s="152">
        <v>30</v>
      </c>
      <c r="K30" s="152">
        <v>2009</v>
      </c>
      <c r="L30" s="152" t="s">
        <v>293</v>
      </c>
      <c r="M30" s="152" t="s">
        <v>222</v>
      </c>
      <c r="N30" s="152" t="s">
        <v>294</v>
      </c>
      <c r="O30" s="152" t="s">
        <v>295</v>
      </c>
      <c r="Z30" s="235" t="s">
        <v>84</v>
      </c>
    </row>
    <row r="31" spans="1:26">
      <c r="A31" s="152">
        <v>30</v>
      </c>
      <c r="B31" s="152">
        <v>20</v>
      </c>
      <c r="C31" s="152" t="s">
        <v>296</v>
      </c>
      <c r="E31" s="152" t="s">
        <v>190</v>
      </c>
      <c r="F31" s="152">
        <v>33</v>
      </c>
      <c r="G31" s="152">
        <v>85</v>
      </c>
      <c r="H31" s="152" t="s">
        <v>83</v>
      </c>
      <c r="I31" s="152">
        <v>12</v>
      </c>
      <c r="J31" s="152">
        <v>30</v>
      </c>
      <c r="K31" s="152">
        <v>2009</v>
      </c>
      <c r="L31" s="152" t="s">
        <v>226</v>
      </c>
      <c r="M31" s="152" t="s">
        <v>222</v>
      </c>
      <c r="N31" s="152" t="s">
        <v>297</v>
      </c>
      <c r="O31" s="152" t="s">
        <v>298</v>
      </c>
    </row>
    <row r="32" spans="1:26">
      <c r="A32" s="152">
        <v>31</v>
      </c>
      <c r="B32" s="152">
        <v>21</v>
      </c>
      <c r="C32" s="152" t="s">
        <v>299</v>
      </c>
      <c r="E32" s="152" t="s">
        <v>190</v>
      </c>
      <c r="F32" s="152">
        <v>16.600000000000001</v>
      </c>
      <c r="G32" s="152">
        <v>18.600000000000001</v>
      </c>
      <c r="H32" s="152" t="s">
        <v>83</v>
      </c>
      <c r="I32" s="152">
        <v>15</v>
      </c>
      <c r="J32" s="152">
        <v>15</v>
      </c>
      <c r="K32" s="152">
        <v>2019</v>
      </c>
    </row>
    <row r="33" spans="1:15">
      <c r="A33" s="152">
        <v>32</v>
      </c>
      <c r="B33" s="152" t="s">
        <v>300</v>
      </c>
      <c r="C33" s="152" t="s">
        <v>301</v>
      </c>
      <c r="E33" s="152" t="s">
        <v>190</v>
      </c>
      <c r="F33" s="152">
        <v>22</v>
      </c>
      <c r="G33" s="152" t="s">
        <v>302</v>
      </c>
      <c r="H33" s="152" t="s">
        <v>77</v>
      </c>
      <c r="I33" s="152">
        <v>20</v>
      </c>
      <c r="J33" s="152">
        <v>14</v>
      </c>
      <c r="K33" s="152">
        <v>2016</v>
      </c>
    </row>
    <row r="34" spans="1:15">
      <c r="A34" s="152">
        <v>33</v>
      </c>
      <c r="B34" s="152">
        <v>22</v>
      </c>
      <c r="C34" s="152" t="s">
        <v>303</v>
      </c>
      <c r="E34" s="152" t="s">
        <v>190</v>
      </c>
      <c r="F34" s="152">
        <v>15</v>
      </c>
      <c r="G34" s="152">
        <v>27</v>
      </c>
      <c r="H34" s="152" t="s">
        <v>83</v>
      </c>
      <c r="I34" s="152">
        <v>12</v>
      </c>
      <c r="J34" s="152">
        <v>24</v>
      </c>
      <c r="K34" s="152">
        <v>2019</v>
      </c>
      <c r="L34" s="152" t="s">
        <v>226</v>
      </c>
      <c r="M34" s="152" t="s">
        <v>304</v>
      </c>
      <c r="N34" s="152" t="s">
        <v>298</v>
      </c>
      <c r="O34" s="152" t="s">
        <v>305</v>
      </c>
    </row>
    <row r="35" spans="1:15">
      <c r="A35" s="152">
        <v>34</v>
      </c>
      <c r="B35" s="152" t="s">
        <v>306</v>
      </c>
      <c r="C35" s="152" t="s">
        <v>307</v>
      </c>
      <c r="E35" s="152" t="s">
        <v>190</v>
      </c>
      <c r="F35" s="152">
        <v>24</v>
      </c>
      <c r="G35" s="152">
        <v>27</v>
      </c>
      <c r="H35" s="152" t="s">
        <v>77</v>
      </c>
      <c r="I35" s="152">
        <v>20</v>
      </c>
      <c r="J35" s="152">
        <v>27</v>
      </c>
      <c r="K35" s="152">
        <v>2015</v>
      </c>
      <c r="L35" s="152" t="s">
        <v>308</v>
      </c>
      <c r="M35" s="152" t="s">
        <v>222</v>
      </c>
      <c r="N35" s="152" t="s">
        <v>298</v>
      </c>
      <c r="O35" s="152" t="s">
        <v>305</v>
      </c>
    </row>
    <row r="36" spans="1:15">
      <c r="A36" s="152">
        <v>35</v>
      </c>
      <c r="B36" s="152">
        <v>23</v>
      </c>
      <c r="C36" s="152" t="s">
        <v>309</v>
      </c>
      <c r="E36" s="152" t="s">
        <v>190</v>
      </c>
      <c r="F36" s="152">
        <v>33</v>
      </c>
      <c r="G36" s="152">
        <v>34</v>
      </c>
      <c r="H36" s="152" t="s">
        <v>75</v>
      </c>
      <c r="I36" s="152">
        <v>33</v>
      </c>
      <c r="J36" s="152">
        <v>20</v>
      </c>
      <c r="K36" s="152">
        <v>1996</v>
      </c>
    </row>
    <row r="37" spans="1:15">
      <c r="A37" s="152">
        <v>36</v>
      </c>
      <c r="B37" s="152">
        <v>24</v>
      </c>
      <c r="C37" s="152" t="s">
        <v>310</v>
      </c>
      <c r="D37" s="152" t="s">
        <v>311</v>
      </c>
      <c r="E37" s="152" t="s">
        <v>190</v>
      </c>
      <c r="F37" s="152">
        <v>33</v>
      </c>
      <c r="G37" s="152">
        <v>20</v>
      </c>
      <c r="H37" s="152" t="s">
        <v>83</v>
      </c>
      <c r="I37" s="152">
        <v>33</v>
      </c>
      <c r="J37" s="152">
        <v>20</v>
      </c>
      <c r="K37" s="152">
        <v>2013</v>
      </c>
      <c r="L37" s="152" t="s">
        <v>226</v>
      </c>
      <c r="M37" s="152" t="s">
        <v>222</v>
      </c>
      <c r="N37" s="152" t="s">
        <v>312</v>
      </c>
      <c r="O37" s="152" t="s">
        <v>313</v>
      </c>
    </row>
    <row r="38" spans="1:15">
      <c r="A38" s="152">
        <v>37</v>
      </c>
      <c r="B38" s="152" t="s">
        <v>314</v>
      </c>
      <c r="C38" s="152" t="s">
        <v>315</v>
      </c>
      <c r="D38" s="152" t="s">
        <v>316</v>
      </c>
      <c r="E38" s="152" t="s">
        <v>190</v>
      </c>
      <c r="F38" s="152">
        <v>33</v>
      </c>
      <c r="G38" s="152">
        <v>15</v>
      </c>
      <c r="H38" s="152" t="s">
        <v>76</v>
      </c>
      <c r="I38" s="152">
        <v>33</v>
      </c>
      <c r="J38" s="152">
        <v>15</v>
      </c>
      <c r="K38" s="152">
        <v>2015</v>
      </c>
      <c r="L38" s="152" t="s">
        <v>226</v>
      </c>
      <c r="M38" s="152" t="s">
        <v>222</v>
      </c>
      <c r="N38" s="152" t="s">
        <v>317</v>
      </c>
      <c r="O38" s="152" t="s">
        <v>318</v>
      </c>
    </row>
    <row r="39" spans="1:15">
      <c r="A39" s="152">
        <v>38</v>
      </c>
      <c r="B39" s="152">
        <v>25</v>
      </c>
      <c r="C39" s="152" t="s">
        <v>319</v>
      </c>
      <c r="E39" s="152" t="s">
        <v>190</v>
      </c>
      <c r="F39" s="152">
        <v>38</v>
      </c>
      <c r="G39" s="152">
        <v>17</v>
      </c>
      <c r="H39" s="152" t="s">
        <v>83</v>
      </c>
      <c r="I39" s="152">
        <v>24</v>
      </c>
      <c r="J39" s="152">
        <v>12</v>
      </c>
      <c r="K39" s="152">
        <v>2020</v>
      </c>
      <c r="L39" s="152" t="s">
        <v>226</v>
      </c>
      <c r="M39" s="152" t="s">
        <v>222</v>
      </c>
      <c r="N39" s="152" t="s">
        <v>320</v>
      </c>
      <c r="O39" s="152" t="s">
        <v>321</v>
      </c>
    </row>
    <row r="154" ht="21.75" customHeight="1"/>
    <row r="155" ht="21" customHeight="1"/>
    <row r="220" ht="18.75" customHeight="1"/>
    <row r="233" ht="19.5" customHeight="1"/>
    <row r="250" ht="33.75" customHeight="1"/>
    <row r="445" spans="26:26">
      <c r="Z445" s="235" t="s">
        <v>84</v>
      </c>
    </row>
    <row r="446" spans="26:26">
      <c r="Z446" s="235" t="s">
        <v>84</v>
      </c>
    </row>
    <row r="447" spans="26:26">
      <c r="Z447" s="235" t="s">
        <v>84</v>
      </c>
    </row>
    <row r="448" spans="26:26">
      <c r="Z448" s="235" t="s">
        <v>84</v>
      </c>
    </row>
    <row r="449" spans="26:26">
      <c r="Z449" s="235" t="s">
        <v>84</v>
      </c>
    </row>
    <row r="450" spans="26:26">
      <c r="Z450" s="235" t="s">
        <v>84</v>
      </c>
    </row>
  </sheetData>
  <sheetProtection password="D844" sheet="1" objects="1" scenarios="1" formatCells="0" formatColumns="0"/>
  <sortState ref="A3:X14">
    <sortCondition ref="B3:B14"/>
  </sortState>
  <pageMargins left="0.7" right="0.7" top="0.75" bottom="0.75" header="0.3" footer="0.3"/>
  <pageSetup paperSize="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36"/>
  <sheetViews>
    <sheetView workbookViewId="0">
      <selection activeCell="A2" sqref="A2:N7"/>
    </sheetView>
  </sheetViews>
  <sheetFormatPr defaultRowHeight="14.25"/>
  <cols>
    <col min="1" max="1" width="24.625" style="1" customWidth="1"/>
    <col min="2" max="2" width="30.125" style="1" customWidth="1"/>
    <col min="3" max="3" width="10.25" style="9" customWidth="1"/>
    <col min="4" max="10" width="9" style="1"/>
    <col min="11" max="11" width="12.25" style="1" customWidth="1"/>
    <col min="12" max="12" width="25.75" style="1" customWidth="1"/>
    <col min="13" max="16384" width="9" style="1"/>
  </cols>
  <sheetData>
    <row r="1" spans="1:12" ht="78" customHeight="1">
      <c r="A1" s="445" t="s">
        <v>201</v>
      </c>
      <c r="B1" s="445" t="s">
        <v>168</v>
      </c>
      <c r="C1" s="446" t="s">
        <v>202</v>
      </c>
      <c r="D1" s="445" t="s">
        <v>203</v>
      </c>
      <c r="E1" s="445" t="s">
        <v>204</v>
      </c>
      <c r="F1" s="445" t="s">
        <v>205</v>
      </c>
      <c r="G1" s="445" t="s">
        <v>206</v>
      </c>
      <c r="H1" s="445" t="s">
        <v>207</v>
      </c>
      <c r="I1" s="445" t="s">
        <v>208</v>
      </c>
      <c r="J1" s="445" t="s">
        <v>209</v>
      </c>
      <c r="K1" s="445" t="s">
        <v>210</v>
      </c>
      <c r="L1" s="445" t="s">
        <v>211</v>
      </c>
    </row>
    <row r="2" spans="1:12">
      <c r="A2" s="444">
        <v>46209.640567129631</v>
      </c>
      <c r="B2" s="442" t="s">
        <v>188</v>
      </c>
      <c r="C2" s="443">
        <v>60</v>
      </c>
      <c r="D2" s="442">
        <v>0</v>
      </c>
      <c r="E2" s="442">
        <v>0</v>
      </c>
      <c r="F2" s="442">
        <v>30</v>
      </c>
      <c r="G2" s="442">
        <v>30</v>
      </c>
      <c r="H2" s="442">
        <v>0</v>
      </c>
      <c r="I2" s="442">
        <v>0</v>
      </c>
      <c r="J2" s="442">
        <v>0</v>
      </c>
      <c r="K2" s="442">
        <v>0</v>
      </c>
      <c r="L2" s="442">
        <v>0</v>
      </c>
    </row>
    <row r="3" spans="1:12">
      <c r="A3" s="444">
        <v>46209.6405787037</v>
      </c>
      <c r="B3" s="442" t="s">
        <v>188</v>
      </c>
      <c r="C3" s="443">
        <v>106.37719936342836</v>
      </c>
      <c r="D3" s="442">
        <v>46.377199363428353</v>
      </c>
      <c r="E3" s="442">
        <v>46.377199363428353</v>
      </c>
      <c r="F3" s="442">
        <v>30</v>
      </c>
      <c r="G3" s="442">
        <v>30</v>
      </c>
      <c r="H3" s="442">
        <v>0</v>
      </c>
      <c r="I3" s="442">
        <v>484</v>
      </c>
      <c r="J3" s="442">
        <v>384</v>
      </c>
      <c r="K3" s="442">
        <v>100</v>
      </c>
      <c r="L3" s="442" t="s">
        <v>75</v>
      </c>
    </row>
    <row r="4" spans="1:12">
      <c r="A4" s="444">
        <v>46209.675717592596</v>
      </c>
      <c r="B4" s="442" t="s">
        <v>188</v>
      </c>
      <c r="C4" s="443">
        <v>156.03248262016314</v>
      </c>
      <c r="D4" s="442">
        <v>96.032482620163137</v>
      </c>
      <c r="E4" s="442">
        <v>46.377199363428353</v>
      </c>
      <c r="F4" s="442">
        <v>30</v>
      </c>
      <c r="G4" s="442">
        <v>30</v>
      </c>
      <c r="H4" s="442">
        <v>0</v>
      </c>
      <c r="I4" s="442">
        <v>484</v>
      </c>
      <c r="J4" s="442">
        <v>384</v>
      </c>
      <c r="K4" s="442">
        <v>100</v>
      </c>
      <c r="L4" s="442" t="s">
        <v>75</v>
      </c>
    </row>
    <row r="5" spans="1:12">
      <c r="A5" s="444">
        <v>46209.675752314812</v>
      </c>
      <c r="B5" s="442" t="s">
        <v>199</v>
      </c>
      <c r="C5" s="443">
        <v>156.03248262016314</v>
      </c>
      <c r="D5" s="442">
        <v>96.032482620163137</v>
      </c>
      <c r="E5" s="442">
        <v>46.377199363428353</v>
      </c>
      <c r="F5" s="442">
        <v>30</v>
      </c>
      <c r="G5" s="442">
        <v>30</v>
      </c>
      <c r="H5" s="442">
        <v>0</v>
      </c>
      <c r="I5" s="442">
        <v>484</v>
      </c>
      <c r="J5" s="442">
        <v>384</v>
      </c>
      <c r="K5" s="442">
        <v>100</v>
      </c>
      <c r="L5" s="442" t="s">
        <v>75</v>
      </c>
    </row>
    <row r="6" spans="1:12">
      <c r="A6" s="444">
        <v>46209.675775462965</v>
      </c>
      <c r="B6" s="442" t="s">
        <v>200</v>
      </c>
      <c r="C6" s="443">
        <v>156.03248262016314</v>
      </c>
      <c r="D6" s="442">
        <v>96.032482620163137</v>
      </c>
      <c r="E6" s="442">
        <v>46.377199363428353</v>
      </c>
      <c r="F6" s="442">
        <v>30</v>
      </c>
      <c r="G6" s="442">
        <v>30</v>
      </c>
      <c r="H6" s="442">
        <v>0</v>
      </c>
      <c r="I6" s="442">
        <v>484</v>
      </c>
      <c r="J6" s="442">
        <v>384</v>
      </c>
      <c r="K6" s="442">
        <v>100</v>
      </c>
      <c r="L6" s="442" t="s">
        <v>75</v>
      </c>
    </row>
    <row r="7" spans="1:12">
      <c r="A7" s="444">
        <v>46209.677025462966</v>
      </c>
      <c r="B7" s="442" t="s">
        <v>188</v>
      </c>
      <c r="C7" s="443">
        <v>156.03248262016314</v>
      </c>
      <c r="D7" s="442">
        <v>96.032482620163137</v>
      </c>
      <c r="E7" s="442">
        <v>46.377199363428353</v>
      </c>
      <c r="F7" s="442">
        <v>30</v>
      </c>
      <c r="G7" s="442">
        <v>30</v>
      </c>
      <c r="H7" s="442">
        <v>0</v>
      </c>
      <c r="I7" s="442">
        <v>484</v>
      </c>
      <c r="J7" s="442">
        <v>384</v>
      </c>
      <c r="K7" s="442">
        <v>100</v>
      </c>
      <c r="L7" s="442" t="s">
        <v>75</v>
      </c>
    </row>
    <row r="8" spans="1:12">
      <c r="A8" s="10"/>
    </row>
    <row r="9" spans="1:12">
      <c r="A9" s="10"/>
    </row>
    <row r="10" spans="1:12">
      <c r="A10" s="10"/>
    </row>
    <row r="11" spans="1:12">
      <c r="A11" s="10"/>
    </row>
    <row r="12" spans="1:12">
      <c r="A12" s="10"/>
    </row>
    <row r="13" spans="1:12">
      <c r="A13" s="10"/>
    </row>
    <row r="14" spans="1:12">
      <c r="A14" s="10"/>
    </row>
    <row r="15" spans="1:12">
      <c r="A15" s="10"/>
    </row>
    <row r="16" spans="1:12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  <row r="22" spans="1:1">
      <c r="A22" s="10"/>
    </row>
    <row r="23" spans="1:1">
      <c r="A23" s="10"/>
    </row>
    <row r="24" spans="1:1">
      <c r="A24" s="10"/>
    </row>
    <row r="25" spans="1:1">
      <c r="A25" s="10"/>
    </row>
    <row r="26" spans="1:1">
      <c r="A26" s="10"/>
    </row>
    <row r="27" spans="1:1">
      <c r="A27" s="10"/>
    </row>
    <row r="28" spans="1:1">
      <c r="A28" s="10"/>
    </row>
    <row r="29" spans="1:1">
      <c r="A29" s="10"/>
    </row>
    <row r="30" spans="1:1">
      <c r="A30" s="10"/>
    </row>
    <row r="31" spans="1:1">
      <c r="A31" s="10"/>
    </row>
    <row r="32" spans="1:1">
      <c r="A32" s="10"/>
    </row>
    <row r="33" spans="1:1">
      <c r="A33" s="10"/>
    </row>
    <row r="34" spans="1:1">
      <c r="A34" s="10"/>
    </row>
    <row r="35" spans="1:1">
      <c r="A35" s="10"/>
    </row>
    <row r="36" spans="1:1">
      <c r="A36" s="10"/>
    </row>
    <row r="37" spans="1:1">
      <c r="A37" s="10"/>
    </row>
    <row r="38" spans="1:1">
      <c r="A38" s="10"/>
    </row>
    <row r="39" spans="1:1">
      <c r="A39" s="10"/>
    </row>
    <row r="40" spans="1:1">
      <c r="A40" s="10"/>
    </row>
    <row r="41" spans="1:1">
      <c r="A41" s="10"/>
    </row>
    <row r="42" spans="1:1">
      <c r="A42" s="10"/>
    </row>
    <row r="43" spans="1:1">
      <c r="A43" s="10"/>
    </row>
    <row r="44" spans="1:1">
      <c r="A44" s="10"/>
    </row>
    <row r="45" spans="1:1">
      <c r="A45" s="10"/>
    </row>
    <row r="46" spans="1:1">
      <c r="A46" s="10"/>
    </row>
    <row r="47" spans="1:1">
      <c r="A47" s="10"/>
    </row>
    <row r="48" spans="1:1">
      <c r="A48" s="10"/>
    </row>
    <row r="49" spans="1:1">
      <c r="A49" s="10"/>
    </row>
    <row r="50" spans="1:1">
      <c r="A50" s="10"/>
    </row>
    <row r="51" spans="1:1">
      <c r="A51" s="10"/>
    </row>
    <row r="52" spans="1:1">
      <c r="A52" s="10"/>
    </row>
    <row r="53" spans="1:1">
      <c r="A53" s="10"/>
    </row>
    <row r="54" spans="1:1">
      <c r="A54" s="10"/>
    </row>
    <row r="55" spans="1:1">
      <c r="A55" s="10"/>
    </row>
    <row r="56" spans="1:1">
      <c r="A56" s="10"/>
    </row>
    <row r="57" spans="1:1">
      <c r="A57" s="10"/>
    </row>
    <row r="58" spans="1:1">
      <c r="A58" s="10"/>
    </row>
    <row r="59" spans="1:1">
      <c r="A59" s="10"/>
    </row>
    <row r="60" spans="1:1">
      <c r="A60" s="10"/>
    </row>
    <row r="61" spans="1:1">
      <c r="A61" s="10"/>
    </row>
    <row r="62" spans="1:1">
      <c r="A62" s="10"/>
    </row>
    <row r="63" spans="1:1">
      <c r="A63" s="10"/>
    </row>
    <row r="64" spans="1:1">
      <c r="A64" s="10"/>
    </row>
    <row r="65" spans="1:1">
      <c r="A65" s="10"/>
    </row>
    <row r="66" spans="1:1">
      <c r="A66" s="10"/>
    </row>
    <row r="67" spans="1:1">
      <c r="A67" s="10"/>
    </row>
    <row r="68" spans="1:1">
      <c r="A68" s="10"/>
    </row>
    <row r="69" spans="1:1">
      <c r="A69" s="10"/>
    </row>
    <row r="70" spans="1:1">
      <c r="A70" s="10"/>
    </row>
    <row r="71" spans="1:1">
      <c r="A71" s="10"/>
    </row>
    <row r="72" spans="1:1">
      <c r="A72" s="10"/>
    </row>
    <row r="73" spans="1:1">
      <c r="A73" s="10"/>
    </row>
    <row r="74" spans="1:1">
      <c r="A74" s="10"/>
    </row>
    <row r="75" spans="1:1">
      <c r="A75" s="10"/>
    </row>
    <row r="76" spans="1:1">
      <c r="A76" s="10"/>
    </row>
    <row r="77" spans="1:1">
      <c r="A77" s="10"/>
    </row>
    <row r="78" spans="1:1">
      <c r="A78" s="10"/>
    </row>
    <row r="79" spans="1:1">
      <c r="A79" s="10"/>
    </row>
    <row r="80" spans="1:1">
      <c r="A80" s="10"/>
    </row>
    <row r="81" spans="1:1">
      <c r="A81" s="10"/>
    </row>
    <row r="82" spans="1:1">
      <c r="A82" s="10"/>
    </row>
    <row r="83" spans="1:1">
      <c r="A83" s="10"/>
    </row>
    <row r="84" spans="1:1">
      <c r="A84" s="10"/>
    </row>
    <row r="85" spans="1:1">
      <c r="A85" s="10"/>
    </row>
    <row r="86" spans="1:1">
      <c r="A86" s="10"/>
    </row>
    <row r="87" spans="1:1">
      <c r="A87" s="10"/>
    </row>
    <row r="88" spans="1:1">
      <c r="A88" s="10"/>
    </row>
    <row r="89" spans="1:1">
      <c r="A89" s="10"/>
    </row>
    <row r="90" spans="1:1">
      <c r="A90" s="10"/>
    </row>
    <row r="91" spans="1:1">
      <c r="A91" s="10"/>
    </row>
    <row r="92" spans="1:1">
      <c r="A92" s="10"/>
    </row>
    <row r="93" spans="1:1">
      <c r="A93" s="10"/>
    </row>
    <row r="94" spans="1:1">
      <c r="A94" s="10"/>
    </row>
    <row r="95" spans="1:1">
      <c r="A95" s="10"/>
    </row>
    <row r="96" spans="1:1">
      <c r="A96" s="10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1">
      <c r="A129" s="10"/>
    </row>
    <row r="130" spans="1:1">
      <c r="A130" s="10"/>
    </row>
    <row r="131" spans="1:1">
      <c r="A131" s="10"/>
    </row>
    <row r="132" spans="1:1">
      <c r="A132" s="10"/>
    </row>
    <row r="133" spans="1:1">
      <c r="A133" s="10"/>
    </row>
    <row r="134" spans="1:1">
      <c r="A134" s="10"/>
    </row>
    <row r="135" spans="1:1">
      <c r="A135" s="10"/>
    </row>
    <row r="136" spans="1:1">
      <c r="A136" s="10"/>
    </row>
    <row r="137" spans="1:1">
      <c r="A137" s="10"/>
    </row>
    <row r="138" spans="1:1">
      <c r="A138" s="10"/>
    </row>
    <row r="139" spans="1:1">
      <c r="A139" s="10"/>
    </row>
    <row r="140" spans="1:1">
      <c r="A140" s="10"/>
    </row>
    <row r="141" spans="1:1">
      <c r="A141" s="10"/>
    </row>
    <row r="142" spans="1:1">
      <c r="A142" s="10"/>
    </row>
    <row r="143" spans="1:1">
      <c r="A143" s="10"/>
    </row>
    <row r="144" spans="1:1">
      <c r="A144" s="10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10"/>
    </row>
    <row r="203" spans="1:1">
      <c r="A203" s="10"/>
    </row>
    <row r="204" spans="1:1">
      <c r="A204" s="10"/>
    </row>
    <row r="205" spans="1:1">
      <c r="A205" s="10"/>
    </row>
    <row r="206" spans="1:1">
      <c r="A206" s="10"/>
    </row>
    <row r="207" spans="1:1">
      <c r="A207" s="10"/>
    </row>
    <row r="208" spans="1:1">
      <c r="A208" s="10"/>
    </row>
    <row r="209" spans="1:1">
      <c r="A209" s="10"/>
    </row>
    <row r="210" spans="1:1">
      <c r="A210" s="10"/>
    </row>
    <row r="211" spans="1:1">
      <c r="A211" s="10"/>
    </row>
    <row r="212" spans="1:1">
      <c r="A212" s="10"/>
    </row>
    <row r="213" spans="1:1">
      <c r="A213" s="10"/>
    </row>
    <row r="214" spans="1:1">
      <c r="A214" s="10"/>
    </row>
    <row r="215" spans="1:1">
      <c r="A215" s="10"/>
    </row>
    <row r="216" spans="1:1">
      <c r="A216" s="10"/>
    </row>
    <row r="217" spans="1:1">
      <c r="A217" s="10"/>
    </row>
    <row r="218" spans="1:1">
      <c r="A218" s="10"/>
    </row>
    <row r="219" spans="1:1">
      <c r="A219" s="10"/>
    </row>
    <row r="220" spans="1:1">
      <c r="A220" s="10"/>
    </row>
    <row r="221" spans="1:1">
      <c r="A221" s="10"/>
    </row>
    <row r="222" spans="1:1">
      <c r="A222" s="10"/>
    </row>
    <row r="223" spans="1:1">
      <c r="A223" s="10"/>
    </row>
    <row r="224" spans="1:1">
      <c r="A224" s="10"/>
    </row>
    <row r="225" spans="1:1">
      <c r="A225" s="10"/>
    </row>
    <row r="226" spans="1:1">
      <c r="A226" s="10"/>
    </row>
    <row r="227" spans="1:1">
      <c r="A227" s="10"/>
    </row>
    <row r="228" spans="1:1">
      <c r="A228" s="10"/>
    </row>
    <row r="229" spans="1:1">
      <c r="A229" s="10"/>
    </row>
    <row r="230" spans="1:1">
      <c r="A230" s="10"/>
    </row>
    <row r="231" spans="1:1">
      <c r="A231" s="10"/>
    </row>
    <row r="232" spans="1:1">
      <c r="A232" s="10"/>
    </row>
    <row r="233" spans="1:1">
      <c r="A233" s="10"/>
    </row>
    <row r="234" spans="1:1">
      <c r="A234" s="10"/>
    </row>
    <row r="235" spans="1:1">
      <c r="A235" s="10"/>
    </row>
    <row r="236" spans="1:1">
      <c r="A236" s="10"/>
    </row>
    <row r="237" spans="1:1">
      <c r="A237" s="10"/>
    </row>
    <row r="238" spans="1:1">
      <c r="A238" s="10"/>
    </row>
    <row r="239" spans="1:1">
      <c r="A239" s="10"/>
    </row>
    <row r="240" spans="1:1">
      <c r="A240" s="10"/>
    </row>
    <row r="241" spans="1:1">
      <c r="A241" s="10"/>
    </row>
    <row r="242" spans="1:1">
      <c r="A242" s="10"/>
    </row>
    <row r="243" spans="1:1">
      <c r="A243" s="10"/>
    </row>
    <row r="244" spans="1:1">
      <c r="A244" s="10"/>
    </row>
    <row r="245" spans="1:1">
      <c r="A245" s="10"/>
    </row>
    <row r="246" spans="1:1">
      <c r="A246" s="10"/>
    </row>
    <row r="247" spans="1:1">
      <c r="A247" s="10"/>
    </row>
    <row r="248" spans="1:1">
      <c r="A248" s="10"/>
    </row>
    <row r="249" spans="1:1">
      <c r="A249" s="10"/>
    </row>
    <row r="250" spans="1:1">
      <c r="A250" s="10"/>
    </row>
    <row r="251" spans="1:1">
      <c r="A251" s="10"/>
    </row>
    <row r="252" spans="1:1">
      <c r="A252" s="10"/>
    </row>
    <row r="253" spans="1:1">
      <c r="A253" s="10"/>
    </row>
    <row r="254" spans="1:1">
      <c r="A254" s="10"/>
    </row>
    <row r="255" spans="1:1">
      <c r="A255" s="10"/>
    </row>
    <row r="256" spans="1:1">
      <c r="A256" s="10"/>
    </row>
    <row r="257" spans="1:1">
      <c r="A257" s="10"/>
    </row>
    <row r="258" spans="1:1">
      <c r="A258" s="10"/>
    </row>
    <row r="259" spans="1:1">
      <c r="A259" s="10"/>
    </row>
    <row r="260" spans="1:1">
      <c r="A260" s="10"/>
    </row>
    <row r="261" spans="1:1">
      <c r="A261" s="10"/>
    </row>
    <row r="262" spans="1:1">
      <c r="A262" s="10"/>
    </row>
    <row r="263" spans="1:1">
      <c r="A263" s="10"/>
    </row>
    <row r="264" spans="1:1">
      <c r="A264" s="10"/>
    </row>
    <row r="265" spans="1:1">
      <c r="A265" s="10"/>
    </row>
    <row r="266" spans="1:1">
      <c r="A266" s="10"/>
    </row>
    <row r="267" spans="1:1">
      <c r="A267" s="10"/>
    </row>
    <row r="268" spans="1:1">
      <c r="A268" s="10"/>
    </row>
    <row r="269" spans="1:1">
      <c r="A269" s="10"/>
    </row>
    <row r="270" spans="1:1">
      <c r="A270" s="10"/>
    </row>
    <row r="271" spans="1:1">
      <c r="A271" s="10"/>
    </row>
    <row r="272" spans="1:1">
      <c r="A272" s="10"/>
    </row>
    <row r="273" spans="1:1">
      <c r="A273" s="10"/>
    </row>
    <row r="274" spans="1:1">
      <c r="A274" s="10"/>
    </row>
    <row r="275" spans="1:1">
      <c r="A275" s="10"/>
    </row>
    <row r="276" spans="1:1">
      <c r="A276" s="10"/>
    </row>
    <row r="277" spans="1:1">
      <c r="A277" s="10"/>
    </row>
    <row r="278" spans="1:1">
      <c r="A278" s="10"/>
    </row>
    <row r="279" spans="1:1">
      <c r="A279" s="10"/>
    </row>
    <row r="280" spans="1:1">
      <c r="A280" s="10"/>
    </row>
    <row r="281" spans="1:1">
      <c r="A281" s="10"/>
    </row>
    <row r="282" spans="1:1">
      <c r="A282" s="10"/>
    </row>
    <row r="283" spans="1:1">
      <c r="A283" s="10"/>
    </row>
    <row r="284" spans="1:1">
      <c r="A284" s="10"/>
    </row>
    <row r="285" spans="1:1">
      <c r="A285" s="10"/>
    </row>
    <row r="286" spans="1:1">
      <c r="A286" s="10"/>
    </row>
    <row r="287" spans="1:1">
      <c r="A287" s="10"/>
    </row>
    <row r="288" spans="1:1">
      <c r="A288" s="10"/>
    </row>
    <row r="289" spans="1:1">
      <c r="A289" s="10"/>
    </row>
    <row r="290" spans="1:1">
      <c r="A290" s="10"/>
    </row>
    <row r="291" spans="1:1">
      <c r="A291" s="10"/>
    </row>
    <row r="292" spans="1:1">
      <c r="A292" s="10"/>
    </row>
    <row r="293" spans="1:1">
      <c r="A293" s="10"/>
    </row>
    <row r="294" spans="1:1">
      <c r="A294" s="10"/>
    </row>
    <row r="295" spans="1:1">
      <c r="A295" s="10"/>
    </row>
    <row r="296" spans="1:1">
      <c r="A296" s="10"/>
    </row>
    <row r="297" spans="1:1">
      <c r="A297" s="10"/>
    </row>
    <row r="298" spans="1:1">
      <c r="A298" s="10"/>
    </row>
    <row r="299" spans="1:1">
      <c r="A299" s="10"/>
    </row>
    <row r="300" spans="1:1">
      <c r="A300" s="10"/>
    </row>
    <row r="301" spans="1:1">
      <c r="A301" s="10"/>
    </row>
    <row r="302" spans="1:1">
      <c r="A302" s="10"/>
    </row>
    <row r="303" spans="1:1">
      <c r="A303" s="10"/>
    </row>
    <row r="304" spans="1:1">
      <c r="A304" s="10"/>
    </row>
    <row r="305" spans="1:1">
      <c r="A305" s="10"/>
    </row>
    <row r="306" spans="1:1">
      <c r="A306" s="10"/>
    </row>
    <row r="307" spans="1:1">
      <c r="A307" s="10"/>
    </row>
    <row r="308" spans="1:1">
      <c r="A308" s="10"/>
    </row>
    <row r="309" spans="1:1">
      <c r="A309" s="10"/>
    </row>
    <row r="310" spans="1:1">
      <c r="A310" s="10"/>
    </row>
    <row r="311" spans="1:1">
      <c r="A311" s="10"/>
    </row>
    <row r="312" spans="1:1">
      <c r="A312" s="10"/>
    </row>
    <row r="313" spans="1:1">
      <c r="A313" s="10"/>
    </row>
    <row r="314" spans="1:1">
      <c r="A314" s="10"/>
    </row>
    <row r="315" spans="1:1">
      <c r="A315" s="10"/>
    </row>
    <row r="316" spans="1:1">
      <c r="A316" s="10"/>
    </row>
    <row r="317" spans="1:1">
      <c r="A317" s="10"/>
    </row>
    <row r="318" spans="1:1">
      <c r="A318" s="10"/>
    </row>
    <row r="319" spans="1:1">
      <c r="A319" s="10"/>
    </row>
    <row r="320" spans="1:1">
      <c r="A320" s="10"/>
    </row>
    <row r="321" spans="1:1">
      <c r="A321" s="10"/>
    </row>
    <row r="322" spans="1:1">
      <c r="A322" s="10"/>
    </row>
    <row r="323" spans="1:1">
      <c r="A323" s="10"/>
    </row>
    <row r="324" spans="1:1">
      <c r="A324" s="10"/>
    </row>
    <row r="325" spans="1:1">
      <c r="A325" s="10"/>
    </row>
    <row r="326" spans="1:1">
      <c r="A326" s="10"/>
    </row>
    <row r="327" spans="1:1">
      <c r="A327" s="10"/>
    </row>
    <row r="328" spans="1:1">
      <c r="A328" s="10"/>
    </row>
    <row r="329" spans="1:1">
      <c r="A329" s="10"/>
    </row>
    <row r="330" spans="1:1">
      <c r="A330" s="10"/>
    </row>
    <row r="331" spans="1:1">
      <c r="A331" s="10"/>
    </row>
    <row r="332" spans="1:1">
      <c r="A332" s="10"/>
    </row>
    <row r="333" spans="1:1">
      <c r="A333" s="10"/>
    </row>
    <row r="334" spans="1:1">
      <c r="A334" s="10"/>
    </row>
    <row r="335" spans="1:1">
      <c r="A335" s="10"/>
    </row>
    <row r="336" spans="1:1">
      <c r="A336" s="10"/>
    </row>
    <row r="337" spans="1:1">
      <c r="A337" s="10"/>
    </row>
    <row r="338" spans="1:1">
      <c r="A338" s="10"/>
    </row>
    <row r="339" spans="1:1">
      <c r="A339" s="10"/>
    </row>
    <row r="340" spans="1:1">
      <c r="A340" s="10"/>
    </row>
    <row r="341" spans="1:1">
      <c r="A341" s="10"/>
    </row>
    <row r="342" spans="1:1">
      <c r="A342" s="10"/>
    </row>
    <row r="343" spans="1:1">
      <c r="A343" s="10"/>
    </row>
    <row r="344" spans="1:1">
      <c r="A344" s="10"/>
    </row>
    <row r="345" spans="1:1">
      <c r="A345" s="10"/>
    </row>
    <row r="346" spans="1:1">
      <c r="A346" s="10"/>
    </row>
    <row r="347" spans="1:1">
      <c r="A347" s="10"/>
    </row>
    <row r="348" spans="1:1">
      <c r="A348" s="10"/>
    </row>
    <row r="349" spans="1:1">
      <c r="A349" s="10"/>
    </row>
    <row r="350" spans="1:1">
      <c r="A350" s="10"/>
    </row>
    <row r="351" spans="1:1">
      <c r="A351" s="10"/>
    </row>
    <row r="352" spans="1:1">
      <c r="A352" s="10"/>
    </row>
    <row r="353" spans="1:1">
      <c r="A353" s="10"/>
    </row>
    <row r="354" spans="1:1">
      <c r="A354" s="10"/>
    </row>
    <row r="355" spans="1:1">
      <c r="A355" s="10"/>
    </row>
    <row r="356" spans="1:1">
      <c r="A356" s="10"/>
    </row>
    <row r="357" spans="1:1">
      <c r="A357" s="10"/>
    </row>
    <row r="358" spans="1:1">
      <c r="A358" s="10"/>
    </row>
    <row r="359" spans="1:1">
      <c r="A359" s="10"/>
    </row>
    <row r="360" spans="1:1">
      <c r="A360" s="10"/>
    </row>
    <row r="361" spans="1:1">
      <c r="A361" s="10"/>
    </row>
    <row r="362" spans="1:1">
      <c r="A362" s="10"/>
    </row>
    <row r="363" spans="1:1">
      <c r="A363" s="10"/>
    </row>
    <row r="364" spans="1:1">
      <c r="A364" s="10"/>
    </row>
    <row r="365" spans="1:1">
      <c r="A365" s="10"/>
    </row>
    <row r="366" spans="1:1">
      <c r="A366" s="10"/>
    </row>
    <row r="367" spans="1:1">
      <c r="A367" s="10"/>
    </row>
    <row r="368" spans="1:1">
      <c r="A368" s="10"/>
    </row>
    <row r="369" spans="1:1">
      <c r="A369" s="10"/>
    </row>
    <row r="370" spans="1:1">
      <c r="A370" s="10"/>
    </row>
    <row r="371" spans="1:1">
      <c r="A371" s="10"/>
    </row>
    <row r="372" spans="1:1">
      <c r="A372" s="10"/>
    </row>
    <row r="373" spans="1:1">
      <c r="A373" s="10"/>
    </row>
    <row r="374" spans="1:1">
      <c r="A374" s="10"/>
    </row>
    <row r="375" spans="1:1">
      <c r="A375" s="10"/>
    </row>
    <row r="376" spans="1:1">
      <c r="A376" s="10"/>
    </row>
    <row r="377" spans="1:1">
      <c r="A377" s="10"/>
    </row>
    <row r="378" spans="1:1">
      <c r="A378" s="10"/>
    </row>
    <row r="379" spans="1:1">
      <c r="A379" s="10"/>
    </row>
    <row r="380" spans="1:1">
      <c r="A380" s="10"/>
    </row>
    <row r="381" spans="1:1">
      <c r="A381" s="10"/>
    </row>
    <row r="382" spans="1:1">
      <c r="A382" s="10"/>
    </row>
    <row r="383" spans="1:1">
      <c r="A383" s="10"/>
    </row>
    <row r="384" spans="1:1">
      <c r="A384" s="10"/>
    </row>
    <row r="385" spans="1:1">
      <c r="A385" s="10"/>
    </row>
    <row r="386" spans="1:1">
      <c r="A386" s="10"/>
    </row>
    <row r="387" spans="1:1">
      <c r="A387" s="10"/>
    </row>
    <row r="388" spans="1:1">
      <c r="A388" s="10"/>
    </row>
    <row r="389" spans="1:1">
      <c r="A389" s="10"/>
    </row>
    <row r="390" spans="1:1">
      <c r="A390" s="10"/>
    </row>
    <row r="391" spans="1:1">
      <c r="A391" s="10"/>
    </row>
    <row r="392" spans="1:1">
      <c r="A392" s="10"/>
    </row>
    <row r="393" spans="1:1">
      <c r="A393" s="10"/>
    </row>
    <row r="394" spans="1:1">
      <c r="A394" s="10"/>
    </row>
    <row r="395" spans="1:1">
      <c r="A395" s="10"/>
    </row>
    <row r="396" spans="1:1">
      <c r="A396" s="10"/>
    </row>
    <row r="397" spans="1:1">
      <c r="A397" s="10"/>
    </row>
    <row r="398" spans="1:1">
      <c r="A398" s="10"/>
    </row>
    <row r="399" spans="1:1">
      <c r="A399" s="10"/>
    </row>
    <row r="400" spans="1:1">
      <c r="A400" s="10"/>
    </row>
    <row r="401" spans="1:1">
      <c r="A401" s="10"/>
    </row>
    <row r="402" spans="1:1">
      <c r="A402" s="10"/>
    </row>
    <row r="403" spans="1:1">
      <c r="A403" s="10"/>
    </row>
    <row r="404" spans="1:1">
      <c r="A404" s="10"/>
    </row>
    <row r="405" spans="1:1">
      <c r="A405" s="10"/>
    </row>
    <row r="406" spans="1:1">
      <c r="A406" s="10"/>
    </row>
    <row r="407" spans="1:1">
      <c r="A407" s="10"/>
    </row>
    <row r="408" spans="1:1">
      <c r="A408" s="10"/>
    </row>
    <row r="409" spans="1:1">
      <c r="A409" s="10"/>
    </row>
    <row r="410" spans="1:1">
      <c r="A410" s="10"/>
    </row>
    <row r="411" spans="1:1">
      <c r="A411" s="10"/>
    </row>
    <row r="412" spans="1:1">
      <c r="A412" s="10"/>
    </row>
    <row r="413" spans="1:1">
      <c r="A413" s="10"/>
    </row>
    <row r="414" spans="1:1">
      <c r="A414" s="10"/>
    </row>
    <row r="415" spans="1:1">
      <c r="A415" s="10"/>
    </row>
    <row r="416" spans="1:1">
      <c r="A416" s="10"/>
    </row>
    <row r="417" spans="1:1">
      <c r="A417" s="10"/>
    </row>
    <row r="418" spans="1:1">
      <c r="A418" s="10"/>
    </row>
    <row r="419" spans="1:1">
      <c r="A419" s="10"/>
    </row>
    <row r="420" spans="1:1">
      <c r="A420" s="10"/>
    </row>
    <row r="421" spans="1:1">
      <c r="A421" s="10"/>
    </row>
    <row r="422" spans="1:1">
      <c r="A422" s="10"/>
    </row>
    <row r="423" spans="1:1">
      <c r="A423" s="10"/>
    </row>
    <row r="424" spans="1:1">
      <c r="A424" s="10"/>
    </row>
    <row r="425" spans="1:1">
      <c r="A425" s="10"/>
    </row>
    <row r="426" spans="1:1">
      <c r="A426" s="10"/>
    </row>
    <row r="427" spans="1:1">
      <c r="A427" s="10"/>
    </row>
    <row r="428" spans="1:1">
      <c r="A428" s="10"/>
    </row>
    <row r="429" spans="1:1">
      <c r="A429" s="10"/>
    </row>
    <row r="430" spans="1:1">
      <c r="A430" s="10"/>
    </row>
    <row r="431" spans="1:1">
      <c r="A431" s="10"/>
    </row>
    <row r="432" spans="1:1">
      <c r="A432" s="10"/>
    </row>
    <row r="433" spans="1:1">
      <c r="A433" s="10"/>
    </row>
    <row r="434" spans="1:1">
      <c r="A434" s="10"/>
    </row>
    <row r="435" spans="1:1">
      <c r="A435" s="10"/>
    </row>
    <row r="436" spans="1:1">
      <c r="A436" s="10"/>
    </row>
    <row r="437" spans="1:1">
      <c r="A437" s="10"/>
    </row>
    <row r="438" spans="1:1">
      <c r="A438" s="10"/>
    </row>
    <row r="439" spans="1:1">
      <c r="A439" s="10"/>
    </row>
    <row r="440" spans="1:1">
      <c r="A440" s="10"/>
    </row>
    <row r="441" spans="1:1">
      <c r="A441" s="10"/>
    </row>
    <row r="442" spans="1:1">
      <c r="A442" s="10"/>
    </row>
    <row r="443" spans="1:1">
      <c r="A443" s="10"/>
    </row>
    <row r="444" spans="1:1">
      <c r="A444" s="10"/>
    </row>
    <row r="445" spans="1:1">
      <c r="A445" s="10"/>
    </row>
    <row r="446" spans="1:1">
      <c r="A446" s="10"/>
    </row>
    <row r="447" spans="1:1">
      <c r="A447" s="10"/>
    </row>
    <row r="448" spans="1:1">
      <c r="A448" s="10"/>
    </row>
    <row r="449" spans="1:1">
      <c r="A449" s="10"/>
    </row>
    <row r="450" spans="1:1">
      <c r="A450" s="10"/>
    </row>
    <row r="451" spans="1:1">
      <c r="A451" s="10"/>
    </row>
    <row r="452" spans="1:1">
      <c r="A452" s="10"/>
    </row>
    <row r="453" spans="1:1">
      <c r="A453" s="10"/>
    </row>
    <row r="454" spans="1:1">
      <c r="A454" s="10"/>
    </row>
    <row r="455" spans="1:1">
      <c r="A455" s="10"/>
    </row>
    <row r="456" spans="1:1">
      <c r="A456" s="10"/>
    </row>
    <row r="457" spans="1:1">
      <c r="A457" s="10"/>
    </row>
    <row r="458" spans="1:1">
      <c r="A458" s="10"/>
    </row>
    <row r="459" spans="1:1">
      <c r="A459" s="10"/>
    </row>
    <row r="460" spans="1:1">
      <c r="A460" s="10"/>
    </row>
    <row r="461" spans="1:1">
      <c r="A461" s="10"/>
    </row>
    <row r="462" spans="1:1">
      <c r="A462" s="10"/>
    </row>
    <row r="463" spans="1:1">
      <c r="A463" s="10"/>
    </row>
    <row r="464" spans="1:1">
      <c r="A464" s="10"/>
    </row>
    <row r="465" spans="1:1">
      <c r="A465" s="10"/>
    </row>
    <row r="466" spans="1:1">
      <c r="A466" s="10"/>
    </row>
    <row r="467" spans="1:1">
      <c r="A467" s="10"/>
    </row>
    <row r="468" spans="1:1">
      <c r="A468" s="10"/>
    </row>
    <row r="469" spans="1:1">
      <c r="A469" s="10"/>
    </row>
    <row r="470" spans="1:1">
      <c r="A470" s="10"/>
    </row>
    <row r="471" spans="1:1">
      <c r="A471" s="10"/>
    </row>
    <row r="472" spans="1:1">
      <c r="A472" s="10"/>
    </row>
    <row r="473" spans="1:1">
      <c r="A473" s="10"/>
    </row>
    <row r="474" spans="1:1">
      <c r="A474" s="10"/>
    </row>
    <row r="475" spans="1:1">
      <c r="A475" s="10"/>
    </row>
    <row r="476" spans="1:1">
      <c r="A476" s="10"/>
    </row>
    <row r="477" spans="1:1">
      <c r="A477" s="10"/>
    </row>
    <row r="478" spans="1:1">
      <c r="A478" s="10"/>
    </row>
    <row r="479" spans="1:1">
      <c r="A479" s="10"/>
    </row>
    <row r="480" spans="1:1">
      <c r="A480" s="10"/>
    </row>
    <row r="481" spans="1:1">
      <c r="A481" s="10"/>
    </row>
    <row r="482" spans="1:1">
      <c r="A482" s="10"/>
    </row>
    <row r="483" spans="1:1">
      <c r="A483" s="10"/>
    </row>
    <row r="484" spans="1:1">
      <c r="A484" s="10"/>
    </row>
    <row r="485" spans="1:1">
      <c r="A485" s="10"/>
    </row>
    <row r="486" spans="1:1">
      <c r="A486" s="10"/>
    </row>
    <row r="487" spans="1:1">
      <c r="A487" s="10"/>
    </row>
    <row r="488" spans="1:1">
      <c r="A488" s="10"/>
    </row>
    <row r="489" spans="1:1">
      <c r="A489" s="10"/>
    </row>
    <row r="490" spans="1:1">
      <c r="A490" s="10"/>
    </row>
    <row r="491" spans="1:1">
      <c r="A491" s="10"/>
    </row>
    <row r="492" spans="1:1">
      <c r="A492" s="10"/>
    </row>
    <row r="493" spans="1:1">
      <c r="A493" s="10"/>
    </row>
    <row r="494" spans="1:1">
      <c r="A494" s="10"/>
    </row>
    <row r="495" spans="1:1">
      <c r="A495" s="10"/>
    </row>
    <row r="496" spans="1:1">
      <c r="A496" s="10"/>
    </row>
    <row r="497" spans="1:1">
      <c r="A497" s="10"/>
    </row>
    <row r="498" spans="1:1">
      <c r="A498" s="10"/>
    </row>
    <row r="499" spans="1:1">
      <c r="A499" s="10"/>
    </row>
    <row r="500" spans="1:1">
      <c r="A500" s="10"/>
    </row>
    <row r="501" spans="1:1">
      <c r="A501" s="10"/>
    </row>
    <row r="502" spans="1:1">
      <c r="A502" s="10"/>
    </row>
    <row r="503" spans="1:1">
      <c r="A503" s="10"/>
    </row>
    <row r="504" spans="1:1">
      <c r="A504" s="10"/>
    </row>
    <row r="505" spans="1:1">
      <c r="A505" s="10"/>
    </row>
    <row r="506" spans="1:1">
      <c r="A506" s="10"/>
    </row>
    <row r="507" spans="1:1">
      <c r="A507" s="10"/>
    </row>
    <row r="508" spans="1:1">
      <c r="A508" s="10"/>
    </row>
    <row r="509" spans="1:1">
      <c r="A509" s="10"/>
    </row>
    <row r="510" spans="1:1">
      <c r="A510" s="10"/>
    </row>
    <row r="511" spans="1:1">
      <c r="A511" s="10"/>
    </row>
    <row r="512" spans="1:1">
      <c r="A512" s="10"/>
    </row>
    <row r="513" spans="1:1">
      <c r="A513" s="10"/>
    </row>
    <row r="514" spans="1:1">
      <c r="A514" s="10"/>
    </row>
    <row r="515" spans="1:1">
      <c r="A515" s="10"/>
    </row>
    <row r="516" spans="1:1">
      <c r="A516" s="10"/>
    </row>
    <row r="517" spans="1:1">
      <c r="A517" s="10"/>
    </row>
    <row r="518" spans="1:1">
      <c r="A518" s="10"/>
    </row>
    <row r="519" spans="1:1">
      <c r="A519" s="10"/>
    </row>
    <row r="520" spans="1:1">
      <c r="A520" s="10"/>
    </row>
    <row r="521" spans="1:1">
      <c r="A521" s="10"/>
    </row>
    <row r="522" spans="1:1">
      <c r="A522" s="10"/>
    </row>
    <row r="523" spans="1:1">
      <c r="A523" s="10"/>
    </row>
    <row r="524" spans="1:1">
      <c r="A524" s="10"/>
    </row>
    <row r="525" spans="1:1">
      <c r="A525" s="10"/>
    </row>
    <row r="526" spans="1:1">
      <c r="A526" s="10"/>
    </row>
    <row r="527" spans="1:1">
      <c r="A527" s="10"/>
    </row>
    <row r="528" spans="1:1">
      <c r="A528" s="10"/>
    </row>
    <row r="529" spans="1:1">
      <c r="A529" s="10"/>
    </row>
    <row r="530" spans="1:1">
      <c r="A530" s="10"/>
    </row>
    <row r="531" spans="1:1">
      <c r="A531" s="10"/>
    </row>
    <row r="532" spans="1:1">
      <c r="A532" s="10"/>
    </row>
    <row r="533" spans="1:1">
      <c r="A533" s="10"/>
    </row>
    <row r="534" spans="1:1">
      <c r="A534" s="10"/>
    </row>
    <row r="535" spans="1:1">
      <c r="A535" s="10"/>
    </row>
    <row r="536" spans="1:1">
      <c r="A536" s="10"/>
    </row>
    <row r="537" spans="1:1">
      <c r="A537" s="10"/>
    </row>
    <row r="538" spans="1:1">
      <c r="A538" s="10"/>
    </row>
    <row r="539" spans="1:1">
      <c r="A539" s="10"/>
    </row>
    <row r="540" spans="1:1">
      <c r="A540" s="10"/>
    </row>
    <row r="541" spans="1:1">
      <c r="A541" s="10"/>
    </row>
    <row r="542" spans="1:1">
      <c r="A542" s="10"/>
    </row>
    <row r="543" spans="1:1">
      <c r="A543" s="10"/>
    </row>
    <row r="544" spans="1:1">
      <c r="A544" s="10"/>
    </row>
    <row r="545" spans="1:1">
      <c r="A545" s="10"/>
    </row>
    <row r="546" spans="1:1">
      <c r="A546" s="10"/>
    </row>
    <row r="547" spans="1:1">
      <c r="A547" s="10"/>
    </row>
    <row r="548" spans="1:1">
      <c r="A548" s="10"/>
    </row>
    <row r="549" spans="1:1">
      <c r="A549" s="10"/>
    </row>
    <row r="550" spans="1:1">
      <c r="A550" s="10"/>
    </row>
    <row r="551" spans="1:1">
      <c r="A551" s="10"/>
    </row>
    <row r="552" spans="1:1">
      <c r="A552" s="10"/>
    </row>
    <row r="553" spans="1:1">
      <c r="A553" s="10"/>
    </row>
    <row r="554" spans="1:1">
      <c r="A554" s="10"/>
    </row>
    <row r="555" spans="1:1">
      <c r="A555" s="10"/>
    </row>
    <row r="556" spans="1:1">
      <c r="A556" s="10"/>
    </row>
    <row r="557" spans="1:1">
      <c r="A557" s="10"/>
    </row>
    <row r="558" spans="1:1">
      <c r="A558" s="10"/>
    </row>
    <row r="559" spans="1:1">
      <c r="A559" s="10"/>
    </row>
    <row r="560" spans="1:1">
      <c r="A560" s="10"/>
    </row>
    <row r="561" spans="1:1">
      <c r="A561" s="10"/>
    </row>
    <row r="562" spans="1:1">
      <c r="A562" s="10"/>
    </row>
    <row r="563" spans="1:1">
      <c r="A563" s="10"/>
    </row>
    <row r="564" spans="1:1">
      <c r="A564" s="10"/>
    </row>
    <row r="565" spans="1:1">
      <c r="A565" s="10"/>
    </row>
    <row r="566" spans="1:1">
      <c r="A566" s="10"/>
    </row>
    <row r="567" spans="1:1">
      <c r="A567" s="10"/>
    </row>
    <row r="568" spans="1:1">
      <c r="A568" s="10"/>
    </row>
    <row r="569" spans="1:1">
      <c r="A569" s="10"/>
    </row>
    <row r="570" spans="1:1">
      <c r="A570" s="10"/>
    </row>
    <row r="571" spans="1:1">
      <c r="A571" s="10"/>
    </row>
    <row r="572" spans="1:1">
      <c r="A572" s="10"/>
    </row>
    <row r="573" spans="1:1">
      <c r="A573" s="10"/>
    </row>
    <row r="574" spans="1:1">
      <c r="A574" s="10"/>
    </row>
    <row r="575" spans="1:1">
      <c r="A575" s="10"/>
    </row>
    <row r="576" spans="1:1">
      <c r="A576" s="10"/>
    </row>
    <row r="577" spans="1:1">
      <c r="A577" s="10"/>
    </row>
    <row r="578" spans="1:1">
      <c r="A578" s="10"/>
    </row>
    <row r="579" spans="1:1">
      <c r="A579" s="10"/>
    </row>
    <row r="580" spans="1:1">
      <c r="A580" s="10"/>
    </row>
    <row r="581" spans="1:1">
      <c r="A581" s="10"/>
    </row>
    <row r="582" spans="1:1">
      <c r="A582" s="10"/>
    </row>
    <row r="583" spans="1:1">
      <c r="A583" s="10"/>
    </row>
    <row r="584" spans="1:1">
      <c r="A584" s="10"/>
    </row>
    <row r="585" spans="1:1">
      <c r="A585" s="10"/>
    </row>
    <row r="586" spans="1:1">
      <c r="A586" s="10"/>
    </row>
    <row r="587" spans="1:1">
      <c r="A587" s="10"/>
    </row>
    <row r="588" spans="1:1">
      <c r="A588" s="10"/>
    </row>
    <row r="589" spans="1:1">
      <c r="A589" s="10"/>
    </row>
    <row r="590" spans="1:1">
      <c r="A590" s="10"/>
    </row>
    <row r="591" spans="1:1">
      <c r="A591" s="10"/>
    </row>
    <row r="592" spans="1:1">
      <c r="A592" s="10"/>
    </row>
    <row r="593" spans="1:1">
      <c r="A593" s="10"/>
    </row>
    <row r="594" spans="1:1">
      <c r="A594" s="10"/>
    </row>
    <row r="595" spans="1:1">
      <c r="A595" s="10"/>
    </row>
    <row r="596" spans="1:1">
      <c r="A596" s="10"/>
    </row>
    <row r="597" spans="1:1">
      <c r="A597" s="10"/>
    </row>
    <row r="598" spans="1:1">
      <c r="A598" s="10"/>
    </row>
    <row r="599" spans="1:1">
      <c r="A599" s="10"/>
    </row>
    <row r="600" spans="1:1">
      <c r="A600" s="10"/>
    </row>
    <row r="601" spans="1:1">
      <c r="A601" s="10"/>
    </row>
    <row r="602" spans="1:1">
      <c r="A602" s="10"/>
    </row>
    <row r="603" spans="1:1">
      <c r="A603" s="10"/>
    </row>
    <row r="604" spans="1:1">
      <c r="A604" s="10"/>
    </row>
    <row r="605" spans="1:1">
      <c r="A605" s="10"/>
    </row>
    <row r="606" spans="1:1">
      <c r="A606" s="10"/>
    </row>
    <row r="607" spans="1:1">
      <c r="A607" s="10"/>
    </row>
    <row r="608" spans="1:1">
      <c r="A608" s="10"/>
    </row>
    <row r="609" spans="1:1">
      <c r="A609" s="10"/>
    </row>
    <row r="610" spans="1:1">
      <c r="A610" s="10"/>
    </row>
    <row r="611" spans="1:1">
      <c r="A611" s="10"/>
    </row>
    <row r="612" spans="1:1">
      <c r="A612" s="10"/>
    </row>
    <row r="613" spans="1:1">
      <c r="A613" s="10"/>
    </row>
    <row r="614" spans="1:1">
      <c r="A614" s="10"/>
    </row>
    <row r="615" spans="1:1">
      <c r="A615" s="10"/>
    </row>
    <row r="616" spans="1:1">
      <c r="A616" s="10"/>
    </row>
    <row r="617" spans="1:1">
      <c r="A617" s="10"/>
    </row>
    <row r="618" spans="1:1">
      <c r="A618" s="10"/>
    </row>
    <row r="619" spans="1:1">
      <c r="A619" s="10"/>
    </row>
    <row r="620" spans="1:1">
      <c r="A620" s="10"/>
    </row>
    <row r="621" spans="1:1">
      <c r="A621" s="10"/>
    </row>
    <row r="622" spans="1:1">
      <c r="A622" s="10"/>
    </row>
    <row r="623" spans="1:1">
      <c r="A623" s="10"/>
    </row>
    <row r="624" spans="1:1">
      <c r="A624" s="10"/>
    </row>
    <row r="625" spans="1:1">
      <c r="A625" s="10"/>
    </row>
    <row r="626" spans="1:1">
      <c r="A626" s="10"/>
    </row>
    <row r="627" spans="1:1">
      <c r="A627" s="10"/>
    </row>
    <row r="628" spans="1:1">
      <c r="A628" s="10"/>
    </row>
    <row r="629" spans="1:1">
      <c r="A629" s="10"/>
    </row>
    <row r="630" spans="1:1">
      <c r="A630" s="10"/>
    </row>
    <row r="631" spans="1:1">
      <c r="A631" s="10"/>
    </row>
    <row r="632" spans="1:1">
      <c r="A632" s="10"/>
    </row>
    <row r="633" spans="1:1">
      <c r="A633" s="10"/>
    </row>
    <row r="634" spans="1:1">
      <c r="A634" s="10"/>
    </row>
    <row r="635" spans="1:1">
      <c r="A635" s="10"/>
    </row>
    <row r="636" spans="1:1">
      <c r="A636" s="10"/>
    </row>
    <row r="637" spans="1:1">
      <c r="A637" s="10"/>
    </row>
    <row r="638" spans="1:1">
      <c r="A638" s="10"/>
    </row>
    <row r="639" spans="1:1">
      <c r="A639" s="10"/>
    </row>
    <row r="640" spans="1:1">
      <c r="A640" s="10"/>
    </row>
    <row r="641" spans="1:1">
      <c r="A641" s="10"/>
    </row>
    <row r="642" spans="1:1">
      <c r="A642" s="10"/>
    </row>
    <row r="643" spans="1:1">
      <c r="A643" s="10"/>
    </row>
    <row r="644" spans="1:1">
      <c r="A644" s="10"/>
    </row>
    <row r="645" spans="1:1">
      <c r="A645" s="10"/>
    </row>
    <row r="646" spans="1:1">
      <c r="A646" s="10"/>
    </row>
    <row r="647" spans="1:1">
      <c r="A647" s="10"/>
    </row>
    <row r="648" spans="1:1">
      <c r="A648" s="10"/>
    </row>
    <row r="649" spans="1:1">
      <c r="A649" s="10"/>
    </row>
    <row r="650" spans="1:1">
      <c r="A650" s="10"/>
    </row>
    <row r="651" spans="1:1">
      <c r="A651" s="10"/>
    </row>
    <row r="652" spans="1:1">
      <c r="A652" s="10"/>
    </row>
    <row r="653" spans="1:1">
      <c r="A653" s="10"/>
    </row>
    <row r="654" spans="1:1">
      <c r="A654" s="10"/>
    </row>
    <row r="655" spans="1:1">
      <c r="A655" s="10"/>
    </row>
    <row r="656" spans="1:1">
      <c r="A656" s="10"/>
    </row>
    <row r="657" spans="1:1">
      <c r="A657" s="10"/>
    </row>
    <row r="658" spans="1:1">
      <c r="A658" s="10"/>
    </row>
    <row r="659" spans="1:1">
      <c r="A659" s="10"/>
    </row>
    <row r="660" spans="1:1">
      <c r="A660" s="10"/>
    </row>
    <row r="661" spans="1:1">
      <c r="A661" s="10"/>
    </row>
    <row r="662" spans="1:1">
      <c r="A662" s="10"/>
    </row>
    <row r="663" spans="1:1">
      <c r="A663" s="10"/>
    </row>
    <row r="664" spans="1:1">
      <c r="A664" s="10"/>
    </row>
    <row r="665" spans="1:1">
      <c r="A665" s="10"/>
    </row>
    <row r="666" spans="1:1">
      <c r="A666" s="10"/>
    </row>
    <row r="667" spans="1:1">
      <c r="A667" s="10"/>
    </row>
    <row r="668" spans="1:1">
      <c r="A668" s="10"/>
    </row>
    <row r="669" spans="1:1">
      <c r="A669" s="10"/>
    </row>
    <row r="670" spans="1:1">
      <c r="A670" s="10"/>
    </row>
    <row r="671" spans="1:1">
      <c r="A671" s="10"/>
    </row>
    <row r="672" spans="1:1">
      <c r="A672" s="10"/>
    </row>
    <row r="673" spans="1:1">
      <c r="A673" s="10"/>
    </row>
    <row r="674" spans="1:1">
      <c r="A674" s="10"/>
    </row>
    <row r="675" spans="1:1">
      <c r="A675" s="10"/>
    </row>
    <row r="676" spans="1:1">
      <c r="A676" s="10"/>
    </row>
    <row r="677" spans="1:1">
      <c r="A677" s="10"/>
    </row>
    <row r="678" spans="1:1">
      <c r="A678" s="10"/>
    </row>
    <row r="679" spans="1:1">
      <c r="A679" s="10"/>
    </row>
    <row r="680" spans="1:1">
      <c r="A680" s="10"/>
    </row>
    <row r="681" spans="1:1">
      <c r="A681" s="10"/>
    </row>
    <row r="682" spans="1:1">
      <c r="A682" s="10"/>
    </row>
    <row r="683" spans="1:1">
      <c r="A683" s="10"/>
    </row>
    <row r="684" spans="1:1">
      <c r="A684" s="10"/>
    </row>
    <row r="685" spans="1:1">
      <c r="A685" s="10"/>
    </row>
    <row r="686" spans="1:1">
      <c r="A686" s="10"/>
    </row>
    <row r="687" spans="1:1">
      <c r="A687" s="10"/>
    </row>
    <row r="688" spans="1:1">
      <c r="A688" s="10"/>
    </row>
    <row r="689" spans="1:1">
      <c r="A689" s="10"/>
    </row>
    <row r="690" spans="1:1">
      <c r="A690" s="10"/>
    </row>
    <row r="691" spans="1:1">
      <c r="A691" s="10"/>
    </row>
    <row r="692" spans="1:1">
      <c r="A692" s="10"/>
    </row>
    <row r="693" spans="1:1">
      <c r="A693" s="10"/>
    </row>
    <row r="694" spans="1:1">
      <c r="A694" s="10"/>
    </row>
    <row r="695" spans="1:1">
      <c r="A695" s="10"/>
    </row>
    <row r="696" spans="1:1">
      <c r="A696" s="10"/>
    </row>
    <row r="697" spans="1:1">
      <c r="A697" s="10"/>
    </row>
    <row r="698" spans="1:1">
      <c r="A698" s="10"/>
    </row>
    <row r="699" spans="1:1">
      <c r="A699" s="10"/>
    </row>
    <row r="700" spans="1:1">
      <c r="A700" s="10"/>
    </row>
    <row r="701" spans="1:1">
      <c r="A701" s="10"/>
    </row>
    <row r="702" spans="1:1">
      <c r="A702" s="10"/>
    </row>
    <row r="703" spans="1:1">
      <c r="A703" s="10"/>
    </row>
    <row r="704" spans="1:1">
      <c r="A704" s="10"/>
    </row>
    <row r="705" spans="1:1">
      <c r="A705" s="10"/>
    </row>
    <row r="706" spans="1:1">
      <c r="A706" s="10"/>
    </row>
    <row r="707" spans="1:1">
      <c r="A707" s="10"/>
    </row>
    <row r="708" spans="1:1">
      <c r="A708" s="10"/>
    </row>
    <row r="709" spans="1:1">
      <c r="A709" s="10"/>
    </row>
    <row r="710" spans="1:1">
      <c r="A710" s="10"/>
    </row>
    <row r="711" spans="1:1">
      <c r="A711" s="10"/>
    </row>
    <row r="712" spans="1:1">
      <c r="A712" s="10"/>
    </row>
    <row r="713" spans="1:1">
      <c r="A713" s="10"/>
    </row>
    <row r="714" spans="1:1">
      <c r="A714" s="10"/>
    </row>
    <row r="715" spans="1:1">
      <c r="A715" s="10"/>
    </row>
    <row r="716" spans="1:1">
      <c r="A716" s="10"/>
    </row>
    <row r="717" spans="1:1">
      <c r="A717" s="10"/>
    </row>
    <row r="718" spans="1:1">
      <c r="A718" s="10"/>
    </row>
    <row r="719" spans="1:1">
      <c r="A719" s="10"/>
    </row>
    <row r="720" spans="1:1">
      <c r="A720" s="10"/>
    </row>
    <row r="721" spans="1:1">
      <c r="A721" s="10"/>
    </row>
    <row r="722" spans="1:1">
      <c r="A722" s="10"/>
    </row>
    <row r="723" spans="1:1">
      <c r="A723" s="10"/>
    </row>
    <row r="724" spans="1:1">
      <c r="A724" s="10"/>
    </row>
    <row r="725" spans="1:1">
      <c r="A725" s="10"/>
    </row>
    <row r="726" spans="1:1">
      <c r="A726" s="10"/>
    </row>
    <row r="727" spans="1:1">
      <c r="A727" s="10"/>
    </row>
    <row r="728" spans="1:1">
      <c r="A728" s="10"/>
    </row>
    <row r="729" spans="1:1">
      <c r="A729" s="10"/>
    </row>
    <row r="730" spans="1:1">
      <c r="A730" s="10"/>
    </row>
    <row r="731" spans="1:1">
      <c r="A731" s="10"/>
    </row>
    <row r="732" spans="1:1">
      <c r="A732" s="10"/>
    </row>
    <row r="733" spans="1:1">
      <c r="A733" s="10"/>
    </row>
    <row r="734" spans="1:1">
      <c r="A734" s="10"/>
    </row>
    <row r="735" spans="1:1">
      <c r="A735" s="10"/>
    </row>
    <row r="736" spans="1:1">
      <c r="A736" s="10"/>
    </row>
    <row r="737" spans="1:1">
      <c r="A737" s="10"/>
    </row>
    <row r="738" spans="1:1">
      <c r="A738" s="10"/>
    </row>
    <row r="739" spans="1:1">
      <c r="A739" s="10"/>
    </row>
    <row r="740" spans="1:1">
      <c r="A740" s="10"/>
    </row>
    <row r="741" spans="1:1">
      <c r="A741" s="10"/>
    </row>
    <row r="742" spans="1:1">
      <c r="A742" s="10"/>
    </row>
    <row r="743" spans="1:1">
      <c r="A743" s="10"/>
    </row>
    <row r="744" spans="1:1">
      <c r="A744" s="10"/>
    </row>
    <row r="745" spans="1:1">
      <c r="A745" s="10"/>
    </row>
    <row r="746" spans="1:1">
      <c r="A746" s="10"/>
    </row>
    <row r="747" spans="1:1">
      <c r="A747" s="10"/>
    </row>
    <row r="748" spans="1:1">
      <c r="A748" s="10"/>
    </row>
    <row r="749" spans="1:1">
      <c r="A749" s="10"/>
    </row>
    <row r="750" spans="1:1">
      <c r="A750" s="10"/>
    </row>
    <row r="751" spans="1:1">
      <c r="A751" s="10"/>
    </row>
    <row r="752" spans="1:1">
      <c r="A752" s="10"/>
    </row>
    <row r="753" spans="1:1">
      <c r="A753" s="10"/>
    </row>
    <row r="754" spans="1:1">
      <c r="A754" s="10"/>
    </row>
    <row r="755" spans="1:1">
      <c r="A755" s="10"/>
    </row>
    <row r="756" spans="1:1">
      <c r="A756" s="10"/>
    </row>
    <row r="757" spans="1:1">
      <c r="A757" s="10"/>
    </row>
    <row r="758" spans="1:1">
      <c r="A758" s="10"/>
    </row>
    <row r="759" spans="1:1">
      <c r="A759" s="10"/>
    </row>
    <row r="760" spans="1:1">
      <c r="A760" s="10"/>
    </row>
    <row r="761" spans="1:1">
      <c r="A761" s="10"/>
    </row>
    <row r="762" spans="1:1">
      <c r="A762" s="10"/>
    </row>
    <row r="763" spans="1:1">
      <c r="A763" s="10"/>
    </row>
    <row r="764" spans="1:1">
      <c r="A764" s="10"/>
    </row>
    <row r="765" spans="1:1">
      <c r="A765" s="10"/>
    </row>
    <row r="766" spans="1:1">
      <c r="A766" s="10"/>
    </row>
    <row r="767" spans="1:1">
      <c r="A767" s="10"/>
    </row>
    <row r="768" spans="1:1">
      <c r="A768" s="10"/>
    </row>
    <row r="769" spans="1:1">
      <c r="A769" s="10"/>
    </row>
    <row r="770" spans="1:1">
      <c r="A770" s="10"/>
    </row>
    <row r="771" spans="1:1">
      <c r="A771" s="10"/>
    </row>
    <row r="772" spans="1:1">
      <c r="A772" s="10"/>
    </row>
    <row r="773" spans="1:1">
      <c r="A773" s="10"/>
    </row>
    <row r="774" spans="1:1">
      <c r="A774" s="10"/>
    </row>
    <row r="775" spans="1:1">
      <c r="A775" s="10"/>
    </row>
    <row r="776" spans="1:1">
      <c r="A776" s="10"/>
    </row>
    <row r="777" spans="1:1">
      <c r="A777" s="10"/>
    </row>
    <row r="778" spans="1:1">
      <c r="A778" s="10"/>
    </row>
    <row r="779" spans="1:1">
      <c r="A779" s="10"/>
    </row>
    <row r="780" spans="1:1">
      <c r="A780" s="10"/>
    </row>
    <row r="781" spans="1:1">
      <c r="A781" s="10"/>
    </row>
    <row r="782" spans="1:1">
      <c r="A782" s="10"/>
    </row>
    <row r="783" spans="1:1">
      <c r="A783" s="10"/>
    </row>
    <row r="784" spans="1:1">
      <c r="A784" s="10"/>
    </row>
    <row r="785" spans="1:1">
      <c r="A785" s="10"/>
    </row>
    <row r="786" spans="1:1">
      <c r="A786" s="10"/>
    </row>
    <row r="787" spans="1:1">
      <c r="A787" s="10"/>
    </row>
    <row r="788" spans="1:1">
      <c r="A788" s="10"/>
    </row>
    <row r="789" spans="1:1">
      <c r="A789" s="10"/>
    </row>
    <row r="790" spans="1:1">
      <c r="A790" s="10"/>
    </row>
    <row r="791" spans="1:1">
      <c r="A791" s="10"/>
    </row>
    <row r="792" spans="1:1">
      <c r="A792" s="10"/>
    </row>
    <row r="793" spans="1:1">
      <c r="A793" s="10"/>
    </row>
    <row r="794" spans="1:1">
      <c r="A794" s="10"/>
    </row>
    <row r="795" spans="1:1">
      <c r="A795" s="10"/>
    </row>
    <row r="796" spans="1:1">
      <c r="A796" s="10"/>
    </row>
    <row r="797" spans="1:1">
      <c r="A797" s="10"/>
    </row>
    <row r="798" spans="1:1">
      <c r="A798" s="10"/>
    </row>
    <row r="799" spans="1:1">
      <c r="A799" s="10"/>
    </row>
    <row r="800" spans="1:1">
      <c r="A800" s="10"/>
    </row>
    <row r="801" spans="1:1">
      <c r="A801" s="10"/>
    </row>
    <row r="802" spans="1:1">
      <c r="A802" s="10"/>
    </row>
    <row r="803" spans="1:1">
      <c r="A803" s="10"/>
    </row>
    <row r="804" spans="1:1">
      <c r="A804" s="10"/>
    </row>
    <row r="805" spans="1:1">
      <c r="A805" s="10"/>
    </row>
    <row r="806" spans="1:1">
      <c r="A806" s="10"/>
    </row>
    <row r="807" spans="1:1">
      <c r="A807" s="10"/>
    </row>
    <row r="808" spans="1:1">
      <c r="A808" s="10"/>
    </row>
    <row r="809" spans="1:1">
      <c r="A809" s="10"/>
    </row>
    <row r="810" spans="1:1">
      <c r="A810" s="10"/>
    </row>
    <row r="811" spans="1:1">
      <c r="A811" s="10"/>
    </row>
    <row r="812" spans="1:1">
      <c r="A812" s="10"/>
    </row>
    <row r="813" spans="1:1">
      <c r="A813" s="10"/>
    </row>
    <row r="814" spans="1:1">
      <c r="A814" s="10"/>
    </row>
    <row r="815" spans="1:1">
      <c r="A815" s="10"/>
    </row>
    <row r="816" spans="1:1">
      <c r="A816" s="10"/>
    </row>
    <row r="817" spans="1:1">
      <c r="A817" s="10"/>
    </row>
    <row r="818" spans="1:1">
      <c r="A818" s="10"/>
    </row>
    <row r="819" spans="1:1">
      <c r="A819" s="10"/>
    </row>
    <row r="820" spans="1:1">
      <c r="A820" s="10"/>
    </row>
    <row r="821" spans="1:1">
      <c r="A821" s="10"/>
    </row>
    <row r="822" spans="1:1">
      <c r="A822" s="10"/>
    </row>
    <row r="823" spans="1:1">
      <c r="A823" s="10"/>
    </row>
    <row r="824" spans="1:1">
      <c r="A824" s="10"/>
    </row>
    <row r="825" spans="1:1">
      <c r="A825" s="10"/>
    </row>
    <row r="826" spans="1:1">
      <c r="A826" s="10"/>
    </row>
    <row r="827" spans="1:1">
      <c r="A827" s="10"/>
    </row>
    <row r="828" spans="1:1">
      <c r="A828" s="10"/>
    </row>
    <row r="829" spans="1:1">
      <c r="A829" s="10"/>
    </row>
    <row r="830" spans="1:1">
      <c r="A830" s="10"/>
    </row>
    <row r="831" spans="1:1">
      <c r="A831" s="10"/>
    </row>
    <row r="832" spans="1:1">
      <c r="A832" s="10"/>
    </row>
    <row r="833" spans="1:1">
      <c r="A833" s="10"/>
    </row>
    <row r="834" spans="1:1">
      <c r="A834" s="10"/>
    </row>
    <row r="835" spans="1:1">
      <c r="A835" s="10"/>
    </row>
    <row r="836" spans="1:1">
      <c r="A836" s="10"/>
    </row>
    <row r="837" spans="1:1">
      <c r="A837" s="10"/>
    </row>
    <row r="838" spans="1:1">
      <c r="A838" s="10"/>
    </row>
    <row r="839" spans="1:1">
      <c r="A839" s="10"/>
    </row>
    <row r="840" spans="1:1">
      <c r="A840" s="10"/>
    </row>
    <row r="841" spans="1:1">
      <c r="A841" s="10"/>
    </row>
    <row r="842" spans="1:1">
      <c r="A842" s="10"/>
    </row>
    <row r="843" spans="1:1">
      <c r="A843" s="10"/>
    </row>
    <row r="844" spans="1:1">
      <c r="A844" s="10"/>
    </row>
    <row r="845" spans="1:1">
      <c r="A845" s="10"/>
    </row>
    <row r="846" spans="1:1">
      <c r="A846" s="10"/>
    </row>
    <row r="847" spans="1:1">
      <c r="A847" s="10"/>
    </row>
    <row r="848" spans="1:1">
      <c r="A848" s="10"/>
    </row>
    <row r="849" spans="1:1">
      <c r="A849" s="10"/>
    </row>
    <row r="850" spans="1:1">
      <c r="A850" s="10"/>
    </row>
    <row r="851" spans="1:1">
      <c r="A851" s="10"/>
    </row>
    <row r="852" spans="1:1">
      <c r="A852" s="10"/>
    </row>
    <row r="853" spans="1:1">
      <c r="A853" s="10"/>
    </row>
    <row r="854" spans="1:1">
      <c r="A854" s="10"/>
    </row>
    <row r="855" spans="1:1">
      <c r="A855" s="10"/>
    </row>
    <row r="856" spans="1:1">
      <c r="A856" s="10"/>
    </row>
    <row r="857" spans="1:1">
      <c r="A857" s="10"/>
    </row>
    <row r="858" spans="1:1">
      <c r="A858" s="10"/>
    </row>
    <row r="859" spans="1:1">
      <c r="A859" s="10"/>
    </row>
    <row r="860" spans="1:1">
      <c r="A860" s="10"/>
    </row>
    <row r="861" spans="1:1">
      <c r="A861" s="10"/>
    </row>
    <row r="862" spans="1:1">
      <c r="A862" s="10"/>
    </row>
    <row r="863" spans="1:1">
      <c r="A863" s="10"/>
    </row>
    <row r="864" spans="1:1">
      <c r="A864" s="10"/>
    </row>
    <row r="865" spans="1:1">
      <c r="A865" s="10"/>
    </row>
    <row r="866" spans="1:1">
      <c r="A866" s="10"/>
    </row>
    <row r="867" spans="1:1">
      <c r="A867" s="10"/>
    </row>
    <row r="868" spans="1:1">
      <c r="A868" s="10"/>
    </row>
    <row r="869" spans="1:1">
      <c r="A869" s="10"/>
    </row>
    <row r="870" spans="1:1">
      <c r="A870" s="10"/>
    </row>
    <row r="871" spans="1:1">
      <c r="A871" s="10"/>
    </row>
    <row r="872" spans="1:1">
      <c r="A872" s="10"/>
    </row>
    <row r="873" spans="1:1">
      <c r="A873" s="10"/>
    </row>
    <row r="874" spans="1:1">
      <c r="A874" s="10"/>
    </row>
    <row r="875" spans="1:1">
      <c r="A875" s="10"/>
    </row>
    <row r="876" spans="1:1">
      <c r="A876" s="10"/>
    </row>
    <row r="877" spans="1:1">
      <c r="A877" s="10"/>
    </row>
    <row r="878" spans="1:1">
      <c r="A878" s="10"/>
    </row>
    <row r="879" spans="1:1">
      <c r="A879" s="10"/>
    </row>
    <row r="880" spans="1:1">
      <c r="A880" s="10"/>
    </row>
    <row r="881" spans="1:1">
      <c r="A881" s="10"/>
    </row>
    <row r="882" spans="1:1">
      <c r="A882" s="10"/>
    </row>
    <row r="883" spans="1:1">
      <c r="A883" s="10"/>
    </row>
    <row r="884" spans="1:1">
      <c r="A884" s="10"/>
    </row>
    <row r="885" spans="1:1">
      <c r="A885" s="10"/>
    </row>
    <row r="886" spans="1:1">
      <c r="A886" s="10"/>
    </row>
    <row r="887" spans="1:1">
      <c r="A887" s="10"/>
    </row>
    <row r="888" spans="1:1">
      <c r="A888" s="10"/>
    </row>
    <row r="889" spans="1:1">
      <c r="A889" s="10"/>
    </row>
    <row r="890" spans="1:1">
      <c r="A890" s="10"/>
    </row>
    <row r="891" spans="1:1">
      <c r="A891" s="10"/>
    </row>
    <row r="892" spans="1:1">
      <c r="A892" s="10"/>
    </row>
    <row r="893" spans="1:1">
      <c r="A893" s="10"/>
    </row>
    <row r="894" spans="1:1">
      <c r="A894" s="10"/>
    </row>
    <row r="895" spans="1:1">
      <c r="A895" s="10"/>
    </row>
    <row r="896" spans="1:1">
      <c r="A896" s="10"/>
    </row>
    <row r="897" spans="1:1">
      <c r="A897" s="10"/>
    </row>
    <row r="898" spans="1:1">
      <c r="A898" s="10"/>
    </row>
    <row r="899" spans="1:1">
      <c r="A899" s="10"/>
    </row>
    <row r="900" spans="1:1">
      <c r="A900" s="10"/>
    </row>
    <row r="901" spans="1:1">
      <c r="A901" s="10"/>
    </row>
    <row r="902" spans="1:1">
      <c r="A902" s="10"/>
    </row>
    <row r="903" spans="1:1">
      <c r="A903" s="10"/>
    </row>
    <row r="904" spans="1:1">
      <c r="A904" s="10"/>
    </row>
    <row r="905" spans="1:1">
      <c r="A905" s="10"/>
    </row>
    <row r="906" spans="1:1">
      <c r="A906" s="10"/>
    </row>
    <row r="907" spans="1:1">
      <c r="A907" s="10"/>
    </row>
    <row r="908" spans="1:1">
      <c r="A908" s="10"/>
    </row>
    <row r="909" spans="1:1">
      <c r="A909" s="10"/>
    </row>
    <row r="910" spans="1:1">
      <c r="A910" s="10"/>
    </row>
    <row r="911" spans="1:1">
      <c r="A911" s="10"/>
    </row>
    <row r="912" spans="1:1">
      <c r="A912" s="10"/>
    </row>
    <row r="913" spans="1:1">
      <c r="A913" s="10"/>
    </row>
    <row r="914" spans="1:1">
      <c r="A914" s="10"/>
    </row>
    <row r="915" spans="1:1">
      <c r="A915" s="10"/>
    </row>
    <row r="916" spans="1:1">
      <c r="A916" s="10"/>
    </row>
    <row r="917" spans="1:1">
      <c r="A917" s="10"/>
    </row>
    <row r="918" spans="1:1">
      <c r="A918" s="10"/>
    </row>
    <row r="919" spans="1:1">
      <c r="A919" s="10"/>
    </row>
    <row r="920" spans="1:1">
      <c r="A920" s="10"/>
    </row>
    <row r="921" spans="1:1">
      <c r="A921" s="10"/>
    </row>
    <row r="922" spans="1:1">
      <c r="A922" s="10"/>
    </row>
    <row r="923" spans="1:1">
      <c r="A923" s="10"/>
    </row>
    <row r="924" spans="1:1">
      <c r="A924" s="10"/>
    </row>
    <row r="925" spans="1:1">
      <c r="A925" s="10"/>
    </row>
    <row r="926" spans="1:1">
      <c r="A926" s="10"/>
    </row>
    <row r="927" spans="1:1">
      <c r="A927" s="10"/>
    </row>
    <row r="928" spans="1:1">
      <c r="A928" s="10"/>
    </row>
    <row r="929" spans="1:1">
      <c r="A929" s="10"/>
    </row>
    <row r="930" spans="1:1">
      <c r="A930" s="10"/>
    </row>
    <row r="931" spans="1:1">
      <c r="A931" s="10"/>
    </row>
    <row r="932" spans="1:1">
      <c r="A932" s="10"/>
    </row>
    <row r="933" spans="1:1">
      <c r="A933" s="10"/>
    </row>
    <row r="934" spans="1:1">
      <c r="A934" s="10"/>
    </row>
    <row r="935" spans="1:1">
      <c r="A935" s="10"/>
    </row>
    <row r="936" spans="1:1">
      <c r="A936" s="10"/>
    </row>
    <row r="937" spans="1:1">
      <c r="A937" s="10"/>
    </row>
    <row r="938" spans="1:1">
      <c r="A938" s="10"/>
    </row>
    <row r="939" spans="1:1">
      <c r="A939" s="10"/>
    </row>
    <row r="940" spans="1:1">
      <c r="A940" s="10"/>
    </row>
    <row r="941" spans="1:1">
      <c r="A941" s="10"/>
    </row>
    <row r="942" spans="1:1">
      <c r="A942" s="10"/>
    </row>
    <row r="943" spans="1:1">
      <c r="A943" s="10"/>
    </row>
    <row r="944" spans="1:1">
      <c r="A944" s="10"/>
    </row>
    <row r="945" spans="1:1">
      <c r="A945" s="10"/>
    </row>
    <row r="946" spans="1:1">
      <c r="A946" s="10"/>
    </row>
    <row r="947" spans="1:1">
      <c r="A947" s="10"/>
    </row>
    <row r="948" spans="1:1">
      <c r="A948" s="10"/>
    </row>
    <row r="949" spans="1:1">
      <c r="A949" s="10"/>
    </row>
    <row r="950" spans="1:1">
      <c r="A950" s="10"/>
    </row>
    <row r="951" spans="1:1">
      <c r="A951" s="10"/>
    </row>
    <row r="952" spans="1:1">
      <c r="A952" s="10"/>
    </row>
    <row r="953" spans="1:1">
      <c r="A953" s="10"/>
    </row>
    <row r="954" spans="1:1">
      <c r="A954" s="10"/>
    </row>
    <row r="955" spans="1:1">
      <c r="A955" s="10"/>
    </row>
    <row r="956" spans="1:1">
      <c r="A956" s="10"/>
    </row>
    <row r="957" spans="1:1">
      <c r="A957" s="10"/>
    </row>
    <row r="958" spans="1:1">
      <c r="A958" s="10"/>
    </row>
    <row r="959" spans="1:1">
      <c r="A959" s="10"/>
    </row>
    <row r="960" spans="1:1">
      <c r="A960" s="10"/>
    </row>
    <row r="961" spans="1:1">
      <c r="A961" s="10"/>
    </row>
    <row r="962" spans="1:1">
      <c r="A962" s="10"/>
    </row>
    <row r="963" spans="1:1">
      <c r="A963" s="10"/>
    </row>
    <row r="964" spans="1:1">
      <c r="A964" s="10"/>
    </row>
    <row r="965" spans="1:1">
      <c r="A965" s="10"/>
    </row>
    <row r="966" spans="1:1">
      <c r="A966" s="10"/>
    </row>
    <row r="967" spans="1:1">
      <c r="A967" s="10"/>
    </row>
    <row r="968" spans="1:1">
      <c r="A968" s="10"/>
    </row>
    <row r="969" spans="1:1">
      <c r="A969" s="10"/>
    </row>
    <row r="970" spans="1:1">
      <c r="A970" s="10"/>
    </row>
    <row r="971" spans="1:1">
      <c r="A971" s="10"/>
    </row>
    <row r="972" spans="1:1">
      <c r="A972" s="10"/>
    </row>
    <row r="973" spans="1:1">
      <c r="A973" s="10"/>
    </row>
    <row r="974" spans="1:1">
      <c r="A974" s="10"/>
    </row>
    <row r="975" spans="1:1">
      <c r="A975" s="10"/>
    </row>
    <row r="976" spans="1:1">
      <c r="A976" s="10"/>
    </row>
    <row r="977" spans="1:1">
      <c r="A977" s="10"/>
    </row>
    <row r="978" spans="1:1">
      <c r="A978" s="10"/>
    </row>
    <row r="979" spans="1:1">
      <c r="A979" s="10"/>
    </row>
    <row r="980" spans="1:1">
      <c r="A980" s="10"/>
    </row>
    <row r="981" spans="1:1">
      <c r="A981" s="10"/>
    </row>
    <row r="982" spans="1:1">
      <c r="A982" s="10"/>
    </row>
    <row r="983" spans="1:1">
      <c r="A983" s="10"/>
    </row>
    <row r="984" spans="1:1">
      <c r="A984" s="10"/>
    </row>
    <row r="985" spans="1:1">
      <c r="A985" s="10"/>
    </row>
    <row r="986" spans="1:1">
      <c r="A986" s="10"/>
    </row>
    <row r="987" spans="1:1">
      <c r="A987" s="10"/>
    </row>
    <row r="988" spans="1:1">
      <c r="A988" s="10"/>
    </row>
    <row r="989" spans="1:1">
      <c r="A989" s="10"/>
    </row>
    <row r="990" spans="1:1">
      <c r="A990" s="10"/>
    </row>
    <row r="991" spans="1:1">
      <c r="A991" s="10"/>
    </row>
    <row r="992" spans="1:1">
      <c r="A992" s="10"/>
    </row>
    <row r="993" spans="1:1">
      <c r="A993" s="10"/>
    </row>
    <row r="994" spans="1:1">
      <c r="A994" s="10"/>
    </row>
    <row r="995" spans="1:1">
      <c r="A995" s="10"/>
    </row>
    <row r="996" spans="1:1">
      <c r="A996" s="10"/>
    </row>
    <row r="997" spans="1:1">
      <c r="A997" s="10"/>
    </row>
    <row r="998" spans="1:1">
      <c r="A998" s="10"/>
    </row>
    <row r="999" spans="1:1">
      <c r="A999" s="10"/>
    </row>
    <row r="1000" spans="1:1">
      <c r="A1000" s="10"/>
    </row>
    <row r="1001" spans="1:1">
      <c r="A1001" s="10"/>
    </row>
    <row r="1002" spans="1:1">
      <c r="A1002" s="10"/>
    </row>
    <row r="1003" spans="1:1">
      <c r="A1003" s="10"/>
    </row>
    <row r="1004" spans="1:1">
      <c r="A1004" s="10"/>
    </row>
    <row r="1005" spans="1:1">
      <c r="A1005" s="10"/>
    </row>
    <row r="1006" spans="1:1">
      <c r="A1006" s="10"/>
    </row>
    <row r="1007" spans="1:1">
      <c r="A1007" s="10"/>
    </row>
    <row r="1008" spans="1:1">
      <c r="A1008" s="10"/>
    </row>
    <row r="1009" spans="1:1">
      <c r="A1009" s="10"/>
    </row>
    <row r="1010" spans="1:1">
      <c r="A1010" s="10"/>
    </row>
    <row r="1011" spans="1:1">
      <c r="A1011" s="10"/>
    </row>
    <row r="1012" spans="1:1">
      <c r="A1012" s="10"/>
    </row>
    <row r="1013" spans="1:1">
      <c r="A1013" s="10"/>
    </row>
    <row r="1014" spans="1:1">
      <c r="A1014" s="10"/>
    </row>
    <row r="1015" spans="1:1">
      <c r="A1015" s="10"/>
    </row>
    <row r="1016" spans="1:1">
      <c r="A1016" s="10"/>
    </row>
    <row r="1017" spans="1:1">
      <c r="A1017" s="10"/>
    </row>
    <row r="1018" spans="1:1">
      <c r="A1018" s="10"/>
    </row>
    <row r="1019" spans="1:1">
      <c r="A1019" s="10"/>
    </row>
    <row r="1020" spans="1:1">
      <c r="A1020" s="10"/>
    </row>
    <row r="1021" spans="1:1">
      <c r="A1021" s="10"/>
    </row>
    <row r="1022" spans="1:1">
      <c r="A1022" s="10"/>
    </row>
    <row r="1023" spans="1:1">
      <c r="A1023" s="10"/>
    </row>
    <row r="1024" spans="1:1">
      <c r="A1024" s="10"/>
    </row>
    <row r="1025" spans="1:1">
      <c r="A1025" s="10"/>
    </row>
    <row r="1026" spans="1:1">
      <c r="A1026" s="10"/>
    </row>
    <row r="1027" spans="1:1">
      <c r="A1027" s="10"/>
    </row>
    <row r="1028" spans="1:1">
      <c r="A1028" s="10"/>
    </row>
    <row r="1029" spans="1:1">
      <c r="A1029" s="10"/>
    </row>
    <row r="1030" spans="1:1">
      <c r="A1030" s="10"/>
    </row>
    <row r="1031" spans="1:1">
      <c r="A1031" s="10"/>
    </row>
    <row r="1032" spans="1:1">
      <c r="A1032" s="10"/>
    </row>
    <row r="1033" spans="1:1">
      <c r="A1033" s="10"/>
    </row>
    <row r="1034" spans="1:1">
      <c r="A1034" s="10"/>
    </row>
    <row r="1035" spans="1:1">
      <c r="A1035" s="10"/>
    </row>
    <row r="1036" spans="1:1">
      <c r="A1036" s="10"/>
    </row>
    <row r="1037" spans="1:1">
      <c r="A1037" s="10"/>
    </row>
    <row r="1038" spans="1:1">
      <c r="A1038" s="10"/>
    </row>
    <row r="1039" spans="1:1">
      <c r="A1039" s="10"/>
    </row>
    <row r="1040" spans="1:1">
      <c r="A1040" s="10"/>
    </row>
    <row r="1041" spans="1:1">
      <c r="A1041" s="10"/>
    </row>
    <row r="1042" spans="1:1">
      <c r="A1042" s="10"/>
    </row>
    <row r="1043" spans="1:1">
      <c r="A1043" s="10"/>
    </row>
    <row r="1044" spans="1:1">
      <c r="A1044" s="10"/>
    </row>
    <row r="1045" spans="1:1">
      <c r="A1045" s="10"/>
    </row>
    <row r="1046" spans="1:1">
      <c r="A1046" s="10"/>
    </row>
    <row r="1047" spans="1:1">
      <c r="A1047" s="10"/>
    </row>
    <row r="1048" spans="1:1">
      <c r="A1048" s="10"/>
    </row>
    <row r="1049" spans="1:1">
      <c r="A1049" s="10"/>
    </row>
    <row r="1050" spans="1:1">
      <c r="A1050" s="10"/>
    </row>
    <row r="1051" spans="1:1">
      <c r="A1051" s="10"/>
    </row>
    <row r="1052" spans="1:1">
      <c r="A1052" s="10"/>
    </row>
    <row r="1053" spans="1:1">
      <c r="A1053" s="10"/>
    </row>
    <row r="1054" spans="1:1">
      <c r="A1054" s="10"/>
    </row>
    <row r="1055" spans="1:1">
      <c r="A1055" s="10"/>
    </row>
    <row r="1056" spans="1:1">
      <c r="A1056" s="10"/>
    </row>
    <row r="1057" spans="1:1">
      <c r="A1057" s="10"/>
    </row>
    <row r="1058" spans="1:1">
      <c r="A1058" s="10"/>
    </row>
    <row r="1059" spans="1:1">
      <c r="A1059" s="10"/>
    </row>
    <row r="1060" spans="1:1">
      <c r="A1060" s="10"/>
    </row>
    <row r="1061" spans="1:1">
      <c r="A1061" s="10"/>
    </row>
    <row r="1062" spans="1:1">
      <c r="A1062" s="10"/>
    </row>
    <row r="1063" spans="1:1">
      <c r="A1063" s="10"/>
    </row>
    <row r="1064" spans="1:1">
      <c r="A1064" s="10"/>
    </row>
    <row r="1065" spans="1:1">
      <c r="A1065" s="10"/>
    </row>
    <row r="1066" spans="1:1">
      <c r="A1066" s="10"/>
    </row>
    <row r="1067" spans="1:1">
      <c r="A1067" s="10"/>
    </row>
    <row r="1068" spans="1:1">
      <c r="A1068" s="10"/>
    </row>
    <row r="1069" spans="1:1">
      <c r="A1069" s="10"/>
    </row>
    <row r="1070" spans="1:1">
      <c r="A1070" s="10"/>
    </row>
    <row r="1071" spans="1:1">
      <c r="A1071" s="10"/>
    </row>
    <row r="1072" spans="1:1">
      <c r="A1072" s="10"/>
    </row>
    <row r="1073" spans="1:1">
      <c r="A1073" s="10"/>
    </row>
    <row r="1074" spans="1:1">
      <c r="A1074" s="10"/>
    </row>
    <row r="1075" spans="1:1">
      <c r="A1075" s="10"/>
    </row>
    <row r="1076" spans="1:1">
      <c r="A1076" s="10"/>
    </row>
    <row r="1077" spans="1:1">
      <c r="A1077" s="10"/>
    </row>
    <row r="1078" spans="1:1">
      <c r="A1078" s="10"/>
    </row>
    <row r="1079" spans="1:1">
      <c r="A1079" s="10"/>
    </row>
    <row r="1080" spans="1:1">
      <c r="A1080" s="10"/>
    </row>
    <row r="1081" spans="1:1">
      <c r="A1081" s="10"/>
    </row>
    <row r="1082" spans="1:1">
      <c r="A1082" s="10"/>
    </row>
    <row r="1083" spans="1:1">
      <c r="A1083" s="10"/>
    </row>
    <row r="1084" spans="1:1">
      <c r="A1084" s="10"/>
    </row>
    <row r="1085" spans="1:1">
      <c r="A1085" s="10"/>
    </row>
    <row r="1086" spans="1:1">
      <c r="A1086" s="10"/>
    </row>
    <row r="1087" spans="1:1">
      <c r="A1087" s="10"/>
    </row>
    <row r="1088" spans="1:1">
      <c r="A1088" s="10"/>
    </row>
    <row r="1089" spans="1:1">
      <c r="A1089" s="10"/>
    </row>
    <row r="1090" spans="1:1">
      <c r="A1090" s="10"/>
    </row>
    <row r="1091" spans="1:1">
      <c r="A1091" s="10"/>
    </row>
    <row r="1092" spans="1:1">
      <c r="A1092" s="10"/>
    </row>
    <row r="1093" spans="1:1">
      <c r="A1093" s="10"/>
    </row>
    <row r="1094" spans="1:1">
      <c r="A1094" s="10"/>
    </row>
    <row r="1095" spans="1:1">
      <c r="A1095" s="10"/>
    </row>
    <row r="1096" spans="1:1">
      <c r="A1096" s="10"/>
    </row>
    <row r="1097" spans="1:1">
      <c r="A1097" s="10"/>
    </row>
    <row r="1098" spans="1:1">
      <c r="A1098" s="10"/>
    </row>
    <row r="1099" spans="1:1">
      <c r="A1099" s="10"/>
    </row>
    <row r="1100" spans="1:1">
      <c r="A1100" s="10"/>
    </row>
    <row r="1101" spans="1:1">
      <c r="A1101" s="10"/>
    </row>
    <row r="1102" spans="1:1">
      <c r="A1102" s="10"/>
    </row>
    <row r="1103" spans="1:1">
      <c r="A1103" s="10"/>
    </row>
    <row r="1104" spans="1:1">
      <c r="A1104" s="10"/>
    </row>
    <row r="1105" spans="1:1">
      <c r="A1105" s="10"/>
    </row>
    <row r="1106" spans="1:1">
      <c r="A1106" s="10"/>
    </row>
    <row r="1107" spans="1:1">
      <c r="A1107" s="10"/>
    </row>
    <row r="1108" spans="1:1">
      <c r="A1108" s="10"/>
    </row>
    <row r="1109" spans="1:1">
      <c r="A1109" s="10"/>
    </row>
    <row r="1110" spans="1:1">
      <c r="A1110" s="10"/>
    </row>
    <row r="1111" spans="1:1">
      <c r="A1111" s="10"/>
    </row>
    <row r="1112" spans="1:1">
      <c r="A1112" s="10"/>
    </row>
    <row r="1113" spans="1:1">
      <c r="A1113" s="10"/>
    </row>
    <row r="1114" spans="1:1">
      <c r="A1114" s="10"/>
    </row>
    <row r="1115" spans="1:1">
      <c r="A1115" s="10"/>
    </row>
    <row r="1116" spans="1:1">
      <c r="A1116" s="10"/>
    </row>
    <row r="1117" spans="1:1">
      <c r="A1117" s="10"/>
    </row>
    <row r="1118" spans="1:1">
      <c r="A1118" s="10"/>
    </row>
    <row r="1119" spans="1:1">
      <c r="A1119" s="10"/>
    </row>
    <row r="1120" spans="1:1">
      <c r="A1120" s="10"/>
    </row>
    <row r="1121" spans="1:1">
      <c r="A1121" s="10"/>
    </row>
    <row r="1122" spans="1:1">
      <c r="A1122" s="10"/>
    </row>
    <row r="1123" spans="1:1">
      <c r="A1123" s="10"/>
    </row>
    <row r="1124" spans="1:1">
      <c r="A1124" s="10"/>
    </row>
    <row r="1125" spans="1:1">
      <c r="A1125" s="10"/>
    </row>
    <row r="1126" spans="1:1">
      <c r="A1126" s="10"/>
    </row>
    <row r="1127" spans="1:1">
      <c r="A1127" s="10"/>
    </row>
    <row r="1128" spans="1:1">
      <c r="A1128" s="10"/>
    </row>
    <row r="1129" spans="1:1">
      <c r="A1129" s="10"/>
    </row>
    <row r="1130" spans="1:1">
      <c r="A1130" s="10"/>
    </row>
    <row r="1131" spans="1:1">
      <c r="A1131" s="10"/>
    </row>
    <row r="1132" spans="1:1">
      <c r="A1132" s="10"/>
    </row>
    <row r="1133" spans="1:1">
      <c r="A1133" s="10"/>
    </row>
    <row r="1134" spans="1:1">
      <c r="A1134" s="10"/>
    </row>
    <row r="1135" spans="1:1">
      <c r="A1135" s="10"/>
    </row>
    <row r="1136" spans="1:1">
      <c r="A1136" s="10"/>
    </row>
    <row r="1137" spans="1:1">
      <c r="A1137" s="10"/>
    </row>
    <row r="1138" spans="1:1">
      <c r="A1138" s="10"/>
    </row>
    <row r="1139" spans="1:1">
      <c r="A1139" s="10"/>
    </row>
    <row r="1140" spans="1:1">
      <c r="A1140" s="10"/>
    </row>
    <row r="1141" spans="1:1">
      <c r="A1141" s="10"/>
    </row>
    <row r="1142" spans="1:1">
      <c r="A1142" s="10"/>
    </row>
    <row r="1143" spans="1:1">
      <c r="A1143" s="10"/>
    </row>
    <row r="1144" spans="1:1">
      <c r="A1144" s="10"/>
    </row>
    <row r="1145" spans="1:1">
      <c r="A1145" s="10"/>
    </row>
    <row r="1146" spans="1:1">
      <c r="A1146" s="10"/>
    </row>
    <row r="1147" spans="1:1">
      <c r="A1147" s="10"/>
    </row>
    <row r="1148" spans="1:1">
      <c r="A1148" s="10"/>
    </row>
    <row r="1149" spans="1:1">
      <c r="A1149" s="10"/>
    </row>
    <row r="1150" spans="1:1">
      <c r="A1150" s="10"/>
    </row>
    <row r="1151" spans="1:1">
      <c r="A1151" s="10"/>
    </row>
    <row r="1152" spans="1:1">
      <c r="A1152" s="10"/>
    </row>
    <row r="1153" spans="1:1">
      <c r="A1153" s="10"/>
    </row>
    <row r="1154" spans="1:1">
      <c r="A1154" s="10"/>
    </row>
    <row r="1155" spans="1:1">
      <c r="A1155" s="10"/>
    </row>
    <row r="1156" spans="1:1">
      <c r="A1156" s="10"/>
    </row>
    <row r="1157" spans="1:1">
      <c r="A1157" s="10"/>
    </row>
    <row r="1158" spans="1:1">
      <c r="A1158" s="10"/>
    </row>
    <row r="1159" spans="1:1">
      <c r="A1159" s="10"/>
    </row>
    <row r="1160" spans="1:1">
      <c r="A1160" s="10"/>
    </row>
    <row r="1161" spans="1:1">
      <c r="A1161" s="10"/>
    </row>
    <row r="1162" spans="1:1">
      <c r="A1162" s="10"/>
    </row>
    <row r="1163" spans="1:1">
      <c r="A1163" s="10"/>
    </row>
    <row r="1164" spans="1:1">
      <c r="A1164" s="10"/>
    </row>
    <row r="1165" spans="1:1">
      <c r="A1165" s="10"/>
    </row>
    <row r="1166" spans="1:1">
      <c r="A1166" s="10"/>
    </row>
    <row r="1167" spans="1:1">
      <c r="A1167" s="10"/>
    </row>
    <row r="1168" spans="1:1">
      <c r="A1168" s="10"/>
    </row>
    <row r="1169" spans="1:1">
      <c r="A1169" s="10"/>
    </row>
    <row r="1170" spans="1:1">
      <c r="A1170" s="10"/>
    </row>
    <row r="1171" spans="1:1">
      <c r="A1171" s="10"/>
    </row>
    <row r="1172" spans="1:1">
      <c r="A1172" s="10"/>
    </row>
    <row r="1173" spans="1:1">
      <c r="A1173" s="10"/>
    </row>
    <row r="1174" spans="1:1">
      <c r="A1174" s="10"/>
    </row>
    <row r="1175" spans="1:1">
      <c r="A1175" s="10"/>
    </row>
    <row r="1176" spans="1:1">
      <c r="A1176" s="10"/>
    </row>
    <row r="1177" spans="1:1">
      <c r="A1177" s="10"/>
    </row>
    <row r="1178" spans="1:1">
      <c r="A1178" s="10"/>
    </row>
    <row r="1179" spans="1:1">
      <c r="A1179" s="10"/>
    </row>
    <row r="1180" spans="1:1">
      <c r="A1180" s="10"/>
    </row>
    <row r="1181" spans="1:1">
      <c r="A1181" s="10"/>
    </row>
    <row r="1182" spans="1:1">
      <c r="A1182" s="10"/>
    </row>
    <row r="1183" spans="1:1">
      <c r="A1183" s="10"/>
    </row>
    <row r="1184" spans="1:1">
      <c r="A1184" s="10"/>
    </row>
    <row r="1185" spans="1:1">
      <c r="A1185" s="10"/>
    </row>
    <row r="1186" spans="1:1">
      <c r="A1186" s="10"/>
    </row>
    <row r="1187" spans="1:1">
      <c r="A1187" s="10"/>
    </row>
    <row r="1188" spans="1:1">
      <c r="A1188" s="10"/>
    </row>
    <row r="1189" spans="1:1">
      <c r="A1189" s="10"/>
    </row>
    <row r="1190" spans="1:1">
      <c r="A1190" s="10"/>
    </row>
    <row r="1191" spans="1:1">
      <c r="A1191" s="10"/>
    </row>
    <row r="1192" spans="1:1">
      <c r="A1192" s="10"/>
    </row>
    <row r="1193" spans="1:1">
      <c r="A1193" s="10"/>
    </row>
    <row r="1194" spans="1:1">
      <c r="A1194" s="10"/>
    </row>
    <row r="1195" spans="1:1">
      <c r="A1195" s="10"/>
    </row>
    <row r="1196" spans="1:1">
      <c r="A1196" s="10"/>
    </row>
    <row r="1197" spans="1:1">
      <c r="A1197" s="10"/>
    </row>
    <row r="1198" spans="1:1">
      <c r="A1198" s="10"/>
    </row>
    <row r="1199" spans="1:1">
      <c r="A1199" s="10"/>
    </row>
    <row r="1200" spans="1:1">
      <c r="A1200" s="10"/>
    </row>
    <row r="1201" spans="1:1">
      <c r="A1201" s="10"/>
    </row>
    <row r="1202" spans="1:1">
      <c r="A1202" s="10"/>
    </row>
    <row r="1203" spans="1:1">
      <c r="A1203" s="10"/>
    </row>
    <row r="1204" spans="1:1">
      <c r="A1204" s="10"/>
    </row>
    <row r="1205" spans="1:1">
      <c r="A1205" s="10"/>
    </row>
    <row r="1206" spans="1:1">
      <c r="A1206" s="10"/>
    </row>
    <row r="1207" spans="1:1">
      <c r="A1207" s="10"/>
    </row>
    <row r="1208" spans="1:1">
      <c r="A1208" s="10"/>
    </row>
    <row r="1209" spans="1:1">
      <c r="A1209" s="10"/>
    </row>
    <row r="1210" spans="1:1">
      <c r="A1210" s="10"/>
    </row>
    <row r="1211" spans="1:1">
      <c r="A1211" s="10"/>
    </row>
    <row r="1212" spans="1:1">
      <c r="A1212" s="10"/>
    </row>
    <row r="1213" spans="1:1">
      <c r="A1213" s="10"/>
    </row>
    <row r="1214" spans="1:1">
      <c r="A1214" s="10"/>
    </row>
    <row r="1215" spans="1:1">
      <c r="A1215" s="10"/>
    </row>
    <row r="1216" spans="1:1">
      <c r="A1216" s="10"/>
    </row>
    <row r="1217" spans="1:1">
      <c r="A1217" s="10"/>
    </row>
    <row r="1218" spans="1:1">
      <c r="A1218" s="10"/>
    </row>
    <row r="1219" spans="1:1">
      <c r="A1219" s="10"/>
    </row>
    <row r="1220" spans="1:1">
      <c r="A1220" s="10"/>
    </row>
    <row r="1221" spans="1:1">
      <c r="A1221" s="10"/>
    </row>
    <row r="1222" spans="1:1">
      <c r="A1222" s="10"/>
    </row>
    <row r="1223" spans="1:1">
      <c r="A1223" s="10"/>
    </row>
    <row r="1224" spans="1:1">
      <c r="A1224" s="10"/>
    </row>
    <row r="1225" spans="1:1">
      <c r="A1225" s="10"/>
    </row>
    <row r="1226" spans="1:1">
      <c r="A1226" s="10"/>
    </row>
    <row r="1227" spans="1:1">
      <c r="A1227" s="10"/>
    </row>
    <row r="1228" spans="1:1">
      <c r="A1228" s="10"/>
    </row>
    <row r="1229" spans="1:1">
      <c r="A1229" s="10"/>
    </row>
    <row r="1230" spans="1:1">
      <c r="A1230" s="10"/>
    </row>
    <row r="1231" spans="1:1">
      <c r="A1231" s="10"/>
    </row>
    <row r="1232" spans="1:1">
      <c r="A1232" s="10"/>
    </row>
    <row r="1233" spans="1:1">
      <c r="A1233" s="10"/>
    </row>
    <row r="1234" spans="1:1">
      <c r="A1234" s="10"/>
    </row>
    <row r="1235" spans="1:1">
      <c r="A1235" s="10"/>
    </row>
    <row r="1236" spans="1:1">
      <c r="A1236" s="10"/>
    </row>
    <row r="1237" spans="1:1">
      <c r="A1237" s="10"/>
    </row>
    <row r="1238" spans="1:1">
      <c r="A1238" s="10"/>
    </row>
    <row r="1239" spans="1:1">
      <c r="A1239" s="10"/>
    </row>
    <row r="1240" spans="1:1">
      <c r="A1240" s="10"/>
    </row>
    <row r="1241" spans="1:1">
      <c r="A1241" s="10"/>
    </row>
    <row r="1242" spans="1:1">
      <c r="A1242" s="10"/>
    </row>
    <row r="1243" spans="1:1">
      <c r="A1243" s="10"/>
    </row>
    <row r="1244" spans="1:1">
      <c r="A1244" s="10"/>
    </row>
    <row r="1245" spans="1:1">
      <c r="A1245" s="10"/>
    </row>
    <row r="1246" spans="1:1">
      <c r="A1246" s="10"/>
    </row>
    <row r="1247" spans="1:1">
      <c r="A1247" s="10"/>
    </row>
    <row r="1248" spans="1:1">
      <c r="A1248" s="10"/>
    </row>
    <row r="1249" spans="1:1">
      <c r="A1249" s="10"/>
    </row>
    <row r="1250" spans="1:1">
      <c r="A1250" s="10"/>
    </row>
    <row r="1251" spans="1:1">
      <c r="A1251" s="10"/>
    </row>
    <row r="1252" spans="1:1">
      <c r="A1252" s="10"/>
    </row>
    <row r="1253" spans="1:1">
      <c r="A1253" s="10"/>
    </row>
    <row r="1254" spans="1:1">
      <c r="A1254" s="10"/>
    </row>
    <row r="1255" spans="1:1">
      <c r="A1255" s="10"/>
    </row>
    <row r="1256" spans="1:1">
      <c r="A1256" s="10"/>
    </row>
    <row r="1257" spans="1:1">
      <c r="A1257" s="10"/>
    </row>
    <row r="1258" spans="1:1">
      <c r="A1258" s="10"/>
    </row>
    <row r="1259" spans="1:1">
      <c r="A1259" s="10"/>
    </row>
    <row r="1260" spans="1:1">
      <c r="A1260" s="10"/>
    </row>
    <row r="1261" spans="1:1">
      <c r="A1261" s="10"/>
    </row>
    <row r="1262" spans="1:1">
      <c r="A1262" s="10"/>
    </row>
    <row r="1263" spans="1:1">
      <c r="A1263" s="10"/>
    </row>
    <row r="1264" spans="1:1">
      <c r="A1264" s="10"/>
    </row>
    <row r="1265" spans="1:1">
      <c r="A1265" s="10"/>
    </row>
    <row r="1266" spans="1:1">
      <c r="A1266" s="10"/>
    </row>
    <row r="1267" spans="1:1">
      <c r="A1267" s="10"/>
    </row>
    <row r="1268" spans="1:1">
      <c r="A1268" s="10"/>
    </row>
    <row r="1269" spans="1:1">
      <c r="A1269" s="10"/>
    </row>
    <row r="1270" spans="1:1">
      <c r="A1270" s="10"/>
    </row>
    <row r="1271" spans="1:1">
      <c r="A1271" s="10"/>
    </row>
    <row r="1272" spans="1:1">
      <c r="A1272" s="10"/>
    </row>
    <row r="1273" spans="1:1">
      <c r="A1273" s="10"/>
    </row>
    <row r="1274" spans="1:1">
      <c r="A1274" s="10"/>
    </row>
    <row r="1275" spans="1:1">
      <c r="A1275" s="10"/>
    </row>
    <row r="1276" spans="1:1">
      <c r="A1276" s="10"/>
    </row>
    <row r="1277" spans="1:1">
      <c r="A1277" s="10"/>
    </row>
    <row r="1278" spans="1:1">
      <c r="A1278" s="10"/>
    </row>
    <row r="1279" spans="1:1">
      <c r="A1279" s="10"/>
    </row>
    <row r="1280" spans="1:1">
      <c r="A1280" s="10"/>
    </row>
    <row r="1281" spans="1:1">
      <c r="A1281" s="10"/>
    </row>
    <row r="1282" spans="1:1">
      <c r="A1282" s="10"/>
    </row>
    <row r="1283" spans="1:1">
      <c r="A1283" s="10"/>
    </row>
    <row r="1284" spans="1:1">
      <c r="A1284" s="10"/>
    </row>
    <row r="1285" spans="1:1">
      <c r="A1285" s="10"/>
    </row>
    <row r="1286" spans="1:1">
      <c r="A1286" s="10"/>
    </row>
    <row r="1287" spans="1:1">
      <c r="A1287" s="10"/>
    </row>
    <row r="1288" spans="1:1">
      <c r="A1288" s="10"/>
    </row>
    <row r="1289" spans="1:1">
      <c r="A1289" s="10"/>
    </row>
    <row r="1290" spans="1:1">
      <c r="A1290" s="10"/>
    </row>
    <row r="1291" spans="1:1">
      <c r="A1291" s="10"/>
    </row>
    <row r="1292" spans="1:1">
      <c r="A1292" s="10"/>
    </row>
    <row r="1293" spans="1:1">
      <c r="A1293" s="10"/>
    </row>
    <row r="1294" spans="1:1">
      <c r="A1294" s="10"/>
    </row>
    <row r="1295" spans="1:1">
      <c r="A1295" s="10"/>
    </row>
    <row r="1296" spans="1:1">
      <c r="A1296" s="10"/>
    </row>
    <row r="1297" spans="1:1">
      <c r="A1297" s="10"/>
    </row>
    <row r="1298" spans="1:1">
      <c r="A1298" s="10"/>
    </row>
    <row r="1299" spans="1:1">
      <c r="A1299" s="10"/>
    </row>
    <row r="1300" spans="1:1">
      <c r="A1300" s="10"/>
    </row>
    <row r="1301" spans="1:1">
      <c r="A1301" s="10"/>
    </row>
    <row r="1302" spans="1:1">
      <c r="A1302" s="10"/>
    </row>
    <row r="1303" spans="1:1">
      <c r="A1303" s="10"/>
    </row>
    <row r="1304" spans="1:1">
      <c r="A1304" s="10"/>
    </row>
    <row r="1305" spans="1:1">
      <c r="A1305" s="10"/>
    </row>
    <row r="1306" spans="1:1">
      <c r="A1306" s="10"/>
    </row>
    <row r="1307" spans="1:1">
      <c r="A1307" s="10"/>
    </row>
    <row r="1308" spans="1:1">
      <c r="A1308" s="10"/>
    </row>
    <row r="1309" spans="1:1">
      <c r="A1309" s="10"/>
    </row>
    <row r="1310" spans="1:1">
      <c r="A1310" s="10"/>
    </row>
    <row r="1311" spans="1:1">
      <c r="A1311" s="10"/>
    </row>
    <row r="1312" spans="1:1">
      <c r="A1312" s="10"/>
    </row>
    <row r="1313" spans="1:1">
      <c r="A1313" s="10"/>
    </row>
    <row r="1314" spans="1:1">
      <c r="A1314" s="10"/>
    </row>
    <row r="1315" spans="1:1">
      <c r="A1315" s="10"/>
    </row>
    <row r="1316" spans="1:1">
      <c r="A1316" s="10"/>
    </row>
    <row r="1317" spans="1:1">
      <c r="A1317" s="10"/>
    </row>
    <row r="1318" spans="1:1">
      <c r="A1318" s="10"/>
    </row>
    <row r="1319" spans="1:1">
      <c r="A1319" s="10"/>
    </row>
    <row r="1320" spans="1:1">
      <c r="A1320" s="10"/>
    </row>
    <row r="1321" spans="1:1">
      <c r="A1321" s="10"/>
    </row>
    <row r="1322" spans="1:1">
      <c r="A1322" s="10"/>
    </row>
    <row r="1323" spans="1:1">
      <c r="A1323" s="10"/>
    </row>
    <row r="1324" spans="1:1">
      <c r="A1324" s="10"/>
    </row>
    <row r="1325" spans="1:1">
      <c r="A1325" s="10"/>
    </row>
    <row r="1326" spans="1:1">
      <c r="A1326" s="10"/>
    </row>
    <row r="1327" spans="1:1">
      <c r="A1327" s="10"/>
    </row>
    <row r="1328" spans="1:1">
      <c r="A1328" s="10"/>
    </row>
    <row r="1329" spans="1:1">
      <c r="A1329" s="10"/>
    </row>
    <row r="1330" spans="1:1">
      <c r="A1330" s="10"/>
    </row>
    <row r="1331" spans="1:1">
      <c r="A1331" s="10"/>
    </row>
    <row r="1332" spans="1:1">
      <c r="A1332" s="10"/>
    </row>
    <row r="1333" spans="1:1">
      <c r="A1333" s="10"/>
    </row>
    <row r="1334" spans="1:1">
      <c r="A1334" s="10"/>
    </row>
    <row r="1335" spans="1:1">
      <c r="A1335" s="10"/>
    </row>
    <row r="1336" spans="1:1">
      <c r="A1336" s="10"/>
    </row>
    <row r="1337" spans="1:1">
      <c r="A1337" s="10"/>
    </row>
    <row r="1338" spans="1:1">
      <c r="A1338" s="10"/>
    </row>
    <row r="1339" spans="1:1">
      <c r="A1339" s="10"/>
    </row>
    <row r="1340" spans="1:1">
      <c r="A1340" s="10"/>
    </row>
    <row r="1341" spans="1:1">
      <c r="A1341" s="10"/>
    </row>
    <row r="1342" spans="1:1">
      <c r="A1342" s="10"/>
    </row>
    <row r="1343" spans="1:1">
      <c r="A1343" s="10"/>
    </row>
    <row r="1344" spans="1:1">
      <c r="A1344" s="10"/>
    </row>
    <row r="1345" spans="1:1">
      <c r="A1345" s="10"/>
    </row>
    <row r="1346" spans="1:1">
      <c r="A1346" s="10"/>
    </row>
    <row r="1347" spans="1:1">
      <c r="A1347" s="10"/>
    </row>
    <row r="1348" spans="1:1">
      <c r="A1348" s="10"/>
    </row>
    <row r="1349" spans="1:1">
      <c r="A1349" s="10"/>
    </row>
    <row r="1350" spans="1:1">
      <c r="A1350" s="10"/>
    </row>
    <row r="1351" spans="1:1">
      <c r="A1351" s="10"/>
    </row>
    <row r="1352" spans="1:1">
      <c r="A1352" s="10"/>
    </row>
    <row r="1353" spans="1:1">
      <c r="A1353" s="10"/>
    </row>
    <row r="1354" spans="1:1">
      <c r="A1354" s="10"/>
    </row>
    <row r="1355" spans="1:1">
      <c r="A1355" s="10"/>
    </row>
    <row r="1356" spans="1:1">
      <c r="A1356" s="10"/>
    </row>
    <row r="1357" spans="1:1">
      <c r="A1357" s="10"/>
    </row>
    <row r="1358" spans="1:1">
      <c r="A1358" s="10"/>
    </row>
    <row r="1359" spans="1:1">
      <c r="A1359" s="10"/>
    </row>
    <row r="1360" spans="1:1">
      <c r="A1360" s="10"/>
    </row>
    <row r="1361" spans="1:1">
      <c r="A1361" s="10"/>
    </row>
    <row r="1362" spans="1:1">
      <c r="A1362" s="10"/>
    </row>
    <row r="1363" spans="1:1">
      <c r="A1363" s="10"/>
    </row>
    <row r="1364" spans="1:1">
      <c r="A1364" s="10"/>
    </row>
    <row r="1365" spans="1:1">
      <c r="A1365" s="10"/>
    </row>
    <row r="1366" spans="1:1">
      <c r="A1366" s="10"/>
    </row>
    <row r="1367" spans="1:1">
      <c r="A1367" s="10"/>
    </row>
    <row r="1368" spans="1:1">
      <c r="A1368" s="10"/>
    </row>
    <row r="1369" spans="1:1">
      <c r="A1369" s="10"/>
    </row>
    <row r="1370" spans="1:1">
      <c r="A1370" s="10"/>
    </row>
    <row r="1371" spans="1:1">
      <c r="A1371" s="10"/>
    </row>
    <row r="1372" spans="1:1">
      <c r="A1372" s="10"/>
    </row>
    <row r="1373" spans="1:1">
      <c r="A1373" s="10"/>
    </row>
    <row r="1374" spans="1:1">
      <c r="A1374" s="10"/>
    </row>
    <row r="1375" spans="1:1">
      <c r="A1375" s="10"/>
    </row>
    <row r="1376" spans="1:1">
      <c r="A1376" s="10"/>
    </row>
    <row r="1377" spans="1:1">
      <c r="A1377" s="10"/>
    </row>
    <row r="1378" spans="1:1">
      <c r="A1378" s="10"/>
    </row>
    <row r="1379" spans="1:1">
      <c r="A1379" s="10"/>
    </row>
    <row r="1380" spans="1:1">
      <c r="A1380" s="10"/>
    </row>
    <row r="1381" spans="1:1">
      <c r="A1381" s="10"/>
    </row>
    <row r="1382" spans="1:1">
      <c r="A1382" s="10"/>
    </row>
    <row r="1383" spans="1:1">
      <c r="A1383" s="10"/>
    </row>
    <row r="1384" spans="1:1">
      <c r="A1384" s="10"/>
    </row>
    <row r="1385" spans="1:1">
      <c r="A1385" s="10"/>
    </row>
    <row r="1386" spans="1:1">
      <c r="A1386" s="10"/>
    </row>
    <row r="1387" spans="1:1">
      <c r="A1387" s="10"/>
    </row>
    <row r="1388" spans="1:1">
      <c r="A1388" s="10"/>
    </row>
    <row r="1389" spans="1:1">
      <c r="A1389" s="10"/>
    </row>
    <row r="1390" spans="1:1">
      <c r="A1390" s="10"/>
    </row>
    <row r="1391" spans="1:1">
      <c r="A1391" s="10"/>
    </row>
    <row r="1392" spans="1:1">
      <c r="A1392" s="10"/>
    </row>
    <row r="1393" spans="1:1">
      <c r="A1393" s="10"/>
    </row>
    <row r="1394" spans="1:1">
      <c r="A1394" s="10"/>
    </row>
    <row r="1395" spans="1:1">
      <c r="A1395" s="10"/>
    </row>
    <row r="1396" spans="1:1">
      <c r="A1396" s="10"/>
    </row>
    <row r="1397" spans="1:1">
      <c r="A1397" s="10"/>
    </row>
    <row r="1398" spans="1:1">
      <c r="A1398" s="10"/>
    </row>
    <row r="1399" spans="1:1">
      <c r="A1399" s="10"/>
    </row>
    <row r="1400" spans="1:1">
      <c r="A1400" s="10"/>
    </row>
    <row r="1401" spans="1:1">
      <c r="A1401" s="10"/>
    </row>
    <row r="1402" spans="1:1">
      <c r="A1402" s="10"/>
    </row>
    <row r="1403" spans="1:1">
      <c r="A1403" s="10"/>
    </row>
    <row r="1404" spans="1:1">
      <c r="A1404" s="10"/>
    </row>
    <row r="1405" spans="1:1">
      <c r="A1405" s="10"/>
    </row>
    <row r="1406" spans="1:1">
      <c r="A1406" s="10"/>
    </row>
    <row r="1407" spans="1:1">
      <c r="A1407" s="10"/>
    </row>
    <row r="1408" spans="1:1">
      <c r="A1408" s="10"/>
    </row>
    <row r="1409" spans="1:1">
      <c r="A1409" s="10"/>
    </row>
    <row r="1410" spans="1:1">
      <c r="A1410" s="10"/>
    </row>
    <row r="1411" spans="1:1">
      <c r="A1411" s="10"/>
    </row>
    <row r="1412" spans="1:1">
      <c r="A1412" s="10"/>
    </row>
    <row r="1413" spans="1:1">
      <c r="A1413" s="10"/>
    </row>
    <row r="1414" spans="1:1">
      <c r="A1414" s="10"/>
    </row>
    <row r="1415" spans="1:1">
      <c r="A1415" s="10"/>
    </row>
    <row r="1416" spans="1:1">
      <c r="A1416" s="10"/>
    </row>
    <row r="1417" spans="1:1">
      <c r="A1417" s="10"/>
    </row>
    <row r="1418" spans="1:1">
      <c r="A1418" s="10"/>
    </row>
    <row r="1419" spans="1:1">
      <c r="A1419" s="10"/>
    </row>
    <row r="1420" spans="1:1">
      <c r="A1420" s="10"/>
    </row>
    <row r="1421" spans="1:1">
      <c r="A1421" s="10"/>
    </row>
    <row r="1422" spans="1:1">
      <c r="A1422" s="10"/>
    </row>
    <row r="1423" spans="1:1">
      <c r="A1423" s="10"/>
    </row>
    <row r="1424" spans="1:1">
      <c r="A1424" s="10"/>
    </row>
    <row r="1425" spans="1:1">
      <c r="A1425" s="10"/>
    </row>
    <row r="1426" spans="1:1">
      <c r="A1426" s="10"/>
    </row>
    <row r="1427" spans="1:1">
      <c r="A1427" s="10"/>
    </row>
    <row r="1428" spans="1:1">
      <c r="A1428" s="10"/>
    </row>
    <row r="1429" spans="1:1">
      <c r="A1429" s="10"/>
    </row>
    <row r="1430" spans="1:1">
      <c r="A1430" s="10"/>
    </row>
    <row r="1431" spans="1:1">
      <c r="A1431" s="10"/>
    </row>
    <row r="1432" spans="1:1">
      <c r="A1432" s="10"/>
    </row>
    <row r="1433" spans="1:1">
      <c r="A1433" s="10"/>
    </row>
    <row r="1434" spans="1:1">
      <c r="A1434" s="10"/>
    </row>
    <row r="1435" spans="1:1">
      <c r="A1435" s="10"/>
    </row>
    <row r="1436" spans="1:1">
      <c r="A1436" s="10"/>
    </row>
    <row r="1437" spans="1:1">
      <c r="A1437" s="10"/>
    </row>
    <row r="1438" spans="1:1">
      <c r="A1438" s="10"/>
    </row>
    <row r="1439" spans="1:1">
      <c r="A1439" s="10"/>
    </row>
    <row r="1440" spans="1:1">
      <c r="A1440" s="10"/>
    </row>
    <row r="1441" spans="1:1">
      <c r="A1441" s="10"/>
    </row>
    <row r="1442" spans="1:1">
      <c r="A1442" s="10"/>
    </row>
    <row r="1443" spans="1:1">
      <c r="A1443" s="10"/>
    </row>
    <row r="1444" spans="1:1">
      <c r="A1444" s="10"/>
    </row>
    <row r="1445" spans="1:1">
      <c r="A1445" s="10"/>
    </row>
    <row r="1446" spans="1:1">
      <c r="A1446" s="10"/>
    </row>
    <row r="1447" spans="1:1">
      <c r="A1447" s="10"/>
    </row>
    <row r="1448" spans="1:1">
      <c r="A1448" s="10"/>
    </row>
    <row r="1449" spans="1:1">
      <c r="A1449" s="10"/>
    </row>
    <row r="1450" spans="1:1">
      <c r="A1450" s="10"/>
    </row>
    <row r="1451" spans="1:1">
      <c r="A1451" s="10"/>
    </row>
    <row r="1452" spans="1:1">
      <c r="A1452" s="10"/>
    </row>
    <row r="1453" spans="1:1">
      <c r="A1453" s="10"/>
    </row>
    <row r="1454" spans="1:1">
      <c r="A1454" s="10"/>
    </row>
    <row r="1455" spans="1:1">
      <c r="A1455" s="10"/>
    </row>
    <row r="1456" spans="1:1">
      <c r="A1456" s="10"/>
    </row>
    <row r="1457" spans="1:1">
      <c r="A1457" s="10"/>
    </row>
    <row r="1458" spans="1:1">
      <c r="A1458" s="10"/>
    </row>
    <row r="1459" spans="1:1">
      <c r="A1459" s="10"/>
    </row>
    <row r="1460" spans="1:1">
      <c r="A1460" s="10"/>
    </row>
    <row r="1461" spans="1:1">
      <c r="A1461" s="10"/>
    </row>
    <row r="1462" spans="1:1">
      <c r="A1462" s="10"/>
    </row>
    <row r="1463" spans="1:1">
      <c r="A1463" s="10"/>
    </row>
    <row r="1464" spans="1:1">
      <c r="A1464" s="10"/>
    </row>
    <row r="1465" spans="1:1">
      <c r="A1465" s="10"/>
    </row>
    <row r="1466" spans="1:1">
      <c r="A1466" s="10"/>
    </row>
    <row r="1467" spans="1:1">
      <c r="A1467" s="10"/>
    </row>
    <row r="1468" spans="1:1">
      <c r="A1468" s="10"/>
    </row>
    <row r="1469" spans="1:1">
      <c r="A1469" s="10"/>
    </row>
    <row r="1470" spans="1:1">
      <c r="A1470" s="10"/>
    </row>
    <row r="1471" spans="1:1">
      <c r="A1471" s="10"/>
    </row>
    <row r="1472" spans="1:1">
      <c r="A1472" s="10"/>
    </row>
    <row r="1473" spans="1:1">
      <c r="A1473" s="10"/>
    </row>
    <row r="1474" spans="1:1">
      <c r="A1474" s="10"/>
    </row>
    <row r="1475" spans="1:1">
      <c r="A1475" s="10"/>
    </row>
    <row r="1476" spans="1:1">
      <c r="A1476" s="10"/>
    </row>
    <row r="1477" spans="1:1">
      <c r="A1477" s="10"/>
    </row>
    <row r="1478" spans="1:1">
      <c r="A1478" s="10"/>
    </row>
    <row r="1479" spans="1:1">
      <c r="A1479" s="10"/>
    </row>
    <row r="1480" spans="1:1">
      <c r="A1480" s="10"/>
    </row>
    <row r="1481" spans="1:1">
      <c r="A1481" s="10"/>
    </row>
    <row r="1482" spans="1:1">
      <c r="A1482" s="10"/>
    </row>
    <row r="1483" spans="1:1">
      <c r="A1483" s="10"/>
    </row>
    <row r="1484" spans="1:1">
      <c r="A1484" s="10"/>
    </row>
    <row r="1485" spans="1:1">
      <c r="A1485" s="10"/>
    </row>
    <row r="1486" spans="1:1">
      <c r="A1486" s="10"/>
    </row>
    <row r="1487" spans="1:1">
      <c r="A1487" s="10"/>
    </row>
    <row r="1488" spans="1:1">
      <c r="A1488" s="10"/>
    </row>
    <row r="1489" spans="1:1">
      <c r="A1489" s="10"/>
    </row>
    <row r="1490" spans="1:1">
      <c r="A1490" s="10"/>
    </row>
    <row r="1491" spans="1:1">
      <c r="A1491" s="10"/>
    </row>
    <row r="1492" spans="1:1">
      <c r="A1492" s="10"/>
    </row>
    <row r="1493" spans="1:1">
      <c r="A1493" s="10"/>
    </row>
    <row r="1494" spans="1:1">
      <c r="A1494" s="10"/>
    </row>
    <row r="1495" spans="1:1">
      <c r="A1495" s="10"/>
    </row>
    <row r="1496" spans="1:1">
      <c r="A1496" s="10"/>
    </row>
    <row r="1497" spans="1:1">
      <c r="A1497" s="10"/>
    </row>
    <row r="1498" spans="1:1">
      <c r="A1498" s="10"/>
    </row>
    <row r="1499" spans="1:1">
      <c r="A1499" s="10"/>
    </row>
    <row r="1500" spans="1:1">
      <c r="A1500" s="10"/>
    </row>
    <row r="1501" spans="1:1">
      <c r="A1501" s="10"/>
    </row>
    <row r="1502" spans="1:1">
      <c r="A1502" s="10"/>
    </row>
    <row r="1503" spans="1:1">
      <c r="A1503" s="10"/>
    </row>
    <row r="1504" spans="1:1">
      <c r="A1504" s="10"/>
    </row>
    <row r="1505" spans="1:1">
      <c r="A1505" s="10"/>
    </row>
    <row r="1506" spans="1:1">
      <c r="A1506" s="10"/>
    </row>
    <row r="1507" spans="1:1">
      <c r="A1507" s="10"/>
    </row>
    <row r="1508" spans="1:1">
      <c r="A1508" s="10"/>
    </row>
    <row r="1509" spans="1:1">
      <c r="A1509" s="10"/>
    </row>
    <row r="1510" spans="1:1">
      <c r="A1510" s="10"/>
    </row>
    <row r="1511" spans="1:1">
      <c r="A1511" s="10"/>
    </row>
    <row r="1512" spans="1:1">
      <c r="A1512" s="10"/>
    </row>
    <row r="1513" spans="1:1">
      <c r="A1513" s="10"/>
    </row>
    <row r="1514" spans="1:1">
      <c r="A1514" s="10"/>
    </row>
    <row r="1515" spans="1:1">
      <c r="A1515" s="10"/>
    </row>
    <row r="1516" spans="1:1">
      <c r="A1516" s="10"/>
    </row>
    <row r="1517" spans="1:1">
      <c r="A1517" s="10"/>
    </row>
    <row r="1518" spans="1:1">
      <c r="A1518" s="10"/>
    </row>
    <row r="1519" spans="1:1">
      <c r="A1519" s="10"/>
    </row>
    <row r="1520" spans="1:1">
      <c r="A1520" s="10"/>
    </row>
    <row r="1521" spans="1:1">
      <c r="A1521" s="10"/>
    </row>
    <row r="1522" spans="1:1">
      <c r="A1522" s="10"/>
    </row>
    <row r="1523" spans="1:1">
      <c r="A1523" s="10"/>
    </row>
    <row r="1524" spans="1:1">
      <c r="A1524" s="10"/>
    </row>
    <row r="1525" spans="1:1">
      <c r="A1525" s="10"/>
    </row>
    <row r="1526" spans="1:1">
      <c r="A1526" s="10"/>
    </row>
    <row r="1527" spans="1:1">
      <c r="A1527" s="10"/>
    </row>
    <row r="1528" spans="1:1">
      <c r="A1528" s="10"/>
    </row>
    <row r="1529" spans="1:1">
      <c r="A1529" s="10"/>
    </row>
    <row r="1530" spans="1:1">
      <c r="A1530" s="10"/>
    </row>
    <row r="1531" spans="1:1">
      <c r="A1531" s="10"/>
    </row>
    <row r="1532" spans="1:1">
      <c r="A1532" s="10"/>
    </row>
    <row r="1533" spans="1:1">
      <c r="A1533" s="10"/>
    </row>
    <row r="1534" spans="1:1">
      <c r="A1534" s="10"/>
    </row>
    <row r="1535" spans="1:1">
      <c r="A1535" s="10"/>
    </row>
    <row r="1536" spans="1:1">
      <c r="A1536" s="10"/>
    </row>
    <row r="1537" spans="1:1">
      <c r="A1537" s="10"/>
    </row>
    <row r="1538" spans="1:1">
      <c r="A1538" s="10"/>
    </row>
    <row r="1539" spans="1:1">
      <c r="A1539" s="10"/>
    </row>
    <row r="1540" spans="1:1">
      <c r="A1540" s="10"/>
    </row>
    <row r="1541" spans="1:1">
      <c r="A1541" s="10"/>
    </row>
    <row r="1542" spans="1:1">
      <c r="A1542" s="10"/>
    </row>
    <row r="1543" spans="1:1">
      <c r="A1543" s="10"/>
    </row>
    <row r="1544" spans="1:1">
      <c r="A1544" s="10"/>
    </row>
    <row r="1545" spans="1:1">
      <c r="A1545" s="10"/>
    </row>
    <row r="1546" spans="1:1">
      <c r="A1546" s="10"/>
    </row>
    <row r="1547" spans="1:1">
      <c r="A1547" s="10"/>
    </row>
    <row r="1548" spans="1:1">
      <c r="A1548" s="10"/>
    </row>
    <row r="1549" spans="1:1">
      <c r="A1549" s="10"/>
    </row>
    <row r="1550" spans="1:1">
      <c r="A1550" s="10"/>
    </row>
    <row r="1551" spans="1:1">
      <c r="A1551" s="10"/>
    </row>
    <row r="1552" spans="1:1">
      <c r="A1552" s="10"/>
    </row>
    <row r="1553" spans="1:1">
      <c r="A1553" s="10"/>
    </row>
    <row r="1554" spans="1:1">
      <c r="A1554" s="10"/>
    </row>
    <row r="1555" spans="1:1">
      <c r="A1555" s="10"/>
    </row>
    <row r="1556" spans="1:1">
      <c r="A1556" s="10"/>
    </row>
    <row r="1557" spans="1:1">
      <c r="A1557" s="10"/>
    </row>
    <row r="1558" spans="1:1">
      <c r="A1558" s="10"/>
    </row>
    <row r="1559" spans="1:1">
      <c r="A1559" s="10"/>
    </row>
    <row r="1560" spans="1:1">
      <c r="A1560" s="10"/>
    </row>
    <row r="1561" spans="1:1">
      <c r="A1561" s="10"/>
    </row>
    <row r="1562" spans="1:1">
      <c r="A1562" s="10"/>
    </row>
    <row r="1563" spans="1:1">
      <c r="A1563" s="10"/>
    </row>
    <row r="1564" spans="1:1">
      <c r="A1564" s="10"/>
    </row>
    <row r="1565" spans="1:1">
      <c r="A1565" s="10"/>
    </row>
    <row r="1566" spans="1:1">
      <c r="A1566" s="10"/>
    </row>
    <row r="1567" spans="1:1">
      <c r="A1567" s="10"/>
    </row>
    <row r="1568" spans="1:1">
      <c r="A1568" s="10"/>
    </row>
    <row r="1569" spans="1:1">
      <c r="A1569" s="10"/>
    </row>
    <row r="1570" spans="1:1">
      <c r="A1570" s="10"/>
    </row>
    <row r="1571" spans="1:1">
      <c r="A1571" s="10"/>
    </row>
    <row r="1572" spans="1:1">
      <c r="A1572" s="10"/>
    </row>
    <row r="1573" spans="1:1">
      <c r="A1573" s="10"/>
    </row>
    <row r="1574" spans="1:1">
      <c r="A1574" s="10"/>
    </row>
    <row r="1575" spans="1:1">
      <c r="A1575" s="10"/>
    </row>
    <row r="1576" spans="1:1">
      <c r="A1576" s="10"/>
    </row>
    <row r="1577" spans="1:1">
      <c r="A1577" s="10"/>
    </row>
    <row r="1578" spans="1:1">
      <c r="A1578" s="10"/>
    </row>
    <row r="1579" spans="1:1">
      <c r="A1579" s="10"/>
    </row>
    <row r="1580" spans="1:1">
      <c r="A1580" s="10"/>
    </row>
    <row r="1581" spans="1:1">
      <c r="A1581" s="10"/>
    </row>
    <row r="1582" spans="1:1">
      <c r="A1582" s="10"/>
    </row>
    <row r="1583" spans="1:1">
      <c r="A1583" s="10"/>
    </row>
    <row r="1584" spans="1:1">
      <c r="A1584" s="10"/>
    </row>
    <row r="1585" spans="1:1">
      <c r="A1585" s="10"/>
    </row>
    <row r="1586" spans="1:1">
      <c r="A1586" s="10"/>
    </row>
    <row r="1587" spans="1:1">
      <c r="A1587" s="10"/>
    </row>
    <row r="1588" spans="1:1">
      <c r="A1588" s="10"/>
    </row>
    <row r="1589" spans="1:1">
      <c r="A1589" s="10"/>
    </row>
    <row r="1590" spans="1:1">
      <c r="A1590" s="10"/>
    </row>
    <row r="1591" spans="1:1">
      <c r="A1591" s="10"/>
    </row>
    <row r="1592" spans="1:1">
      <c r="A1592" s="10"/>
    </row>
    <row r="1593" spans="1:1">
      <c r="A1593" s="10"/>
    </row>
    <row r="1594" spans="1:1">
      <c r="A1594" s="10"/>
    </row>
    <row r="1595" spans="1:1">
      <c r="A1595" s="10"/>
    </row>
    <row r="1596" spans="1:1">
      <c r="A1596" s="10"/>
    </row>
    <row r="1597" spans="1:1">
      <c r="A1597" s="10"/>
    </row>
    <row r="1598" spans="1:1">
      <c r="A1598" s="10"/>
    </row>
    <row r="1599" spans="1:1">
      <c r="A1599" s="10"/>
    </row>
    <row r="1600" spans="1:1">
      <c r="A1600" s="10"/>
    </row>
    <row r="1601" spans="1:1">
      <c r="A1601" s="10"/>
    </row>
    <row r="1602" spans="1:1">
      <c r="A1602" s="10"/>
    </row>
    <row r="1603" spans="1:1">
      <c r="A1603" s="10"/>
    </row>
    <row r="1604" spans="1:1">
      <c r="A1604" s="10"/>
    </row>
    <row r="1605" spans="1:1">
      <c r="A1605" s="10"/>
    </row>
    <row r="1606" spans="1:1">
      <c r="A1606" s="10"/>
    </row>
    <row r="1607" spans="1:1">
      <c r="A1607" s="10"/>
    </row>
    <row r="1608" spans="1:1">
      <c r="A1608" s="10"/>
    </row>
    <row r="1609" spans="1:1">
      <c r="A1609" s="10"/>
    </row>
    <row r="1610" spans="1:1">
      <c r="A1610" s="10"/>
    </row>
    <row r="1611" spans="1:1">
      <c r="A1611" s="10"/>
    </row>
    <row r="1612" spans="1:1">
      <c r="A1612" s="10"/>
    </row>
    <row r="1613" spans="1:1">
      <c r="A1613" s="10"/>
    </row>
    <row r="1614" spans="1:1">
      <c r="A1614" s="10"/>
    </row>
    <row r="1615" spans="1:1">
      <c r="A1615" s="10"/>
    </row>
    <row r="1616" spans="1:1">
      <c r="A1616" s="10"/>
    </row>
    <row r="1617" spans="1:1">
      <c r="A1617" s="10"/>
    </row>
    <row r="1618" spans="1:1">
      <c r="A1618" s="10"/>
    </row>
    <row r="1619" spans="1:1">
      <c r="A1619" s="10"/>
    </row>
    <row r="1620" spans="1:1">
      <c r="A1620" s="10"/>
    </row>
    <row r="1621" spans="1:1">
      <c r="A1621" s="10"/>
    </row>
    <row r="1622" spans="1:1">
      <c r="A1622" s="10"/>
    </row>
    <row r="1623" spans="1:1">
      <c r="A1623" s="10"/>
    </row>
    <row r="1624" spans="1:1">
      <c r="A1624" s="10"/>
    </row>
    <row r="1625" spans="1:1">
      <c r="A1625" s="10"/>
    </row>
    <row r="1626" spans="1:1">
      <c r="A1626" s="10"/>
    </row>
    <row r="1627" spans="1:1">
      <c r="A1627" s="10"/>
    </row>
    <row r="1628" spans="1:1">
      <c r="A1628" s="10"/>
    </row>
    <row r="1629" spans="1:1">
      <c r="A1629" s="10"/>
    </row>
    <row r="1630" spans="1:1">
      <c r="A1630" s="10"/>
    </row>
    <row r="1631" spans="1:1">
      <c r="A1631" s="10"/>
    </row>
    <row r="1632" spans="1:1">
      <c r="A1632" s="10"/>
    </row>
    <row r="1633" spans="1:1">
      <c r="A1633" s="10"/>
    </row>
    <row r="1634" spans="1:1">
      <c r="A1634" s="10"/>
    </row>
    <row r="1635" spans="1:1">
      <c r="A1635" s="10"/>
    </row>
    <row r="1636" spans="1:1">
      <c r="A1636" s="10"/>
    </row>
    <row r="1637" spans="1:1">
      <c r="A1637" s="10"/>
    </row>
    <row r="1638" spans="1:1">
      <c r="A1638" s="10"/>
    </row>
    <row r="1639" spans="1:1">
      <c r="A1639" s="10"/>
    </row>
    <row r="1640" spans="1:1">
      <c r="A1640" s="10"/>
    </row>
    <row r="1641" spans="1:1">
      <c r="A1641" s="10"/>
    </row>
    <row r="1642" spans="1:1">
      <c r="A1642" s="10"/>
    </row>
    <row r="1643" spans="1:1">
      <c r="A1643" s="10"/>
    </row>
    <row r="1644" spans="1:1">
      <c r="A1644" s="10"/>
    </row>
    <row r="1645" spans="1:1">
      <c r="A1645" s="10"/>
    </row>
    <row r="1646" spans="1:1">
      <c r="A1646" s="10"/>
    </row>
    <row r="1647" spans="1:1">
      <c r="A1647" s="10"/>
    </row>
    <row r="1648" spans="1:1">
      <c r="A1648" s="10"/>
    </row>
    <row r="1649" spans="1:1">
      <c r="A1649" s="10"/>
    </row>
    <row r="1650" spans="1:1">
      <c r="A1650" s="10"/>
    </row>
    <row r="1651" spans="1:1">
      <c r="A1651" s="10"/>
    </row>
    <row r="1652" spans="1:1">
      <c r="A1652" s="10"/>
    </row>
    <row r="1653" spans="1:1">
      <c r="A1653" s="10"/>
    </row>
    <row r="1654" spans="1:1">
      <c r="A1654" s="10"/>
    </row>
    <row r="1655" spans="1:1">
      <c r="A1655" s="10"/>
    </row>
    <row r="1656" spans="1:1">
      <c r="A1656" s="10"/>
    </row>
    <row r="1657" spans="1:1">
      <c r="A1657" s="10"/>
    </row>
    <row r="1658" spans="1:1">
      <c r="A1658" s="10"/>
    </row>
    <row r="1659" spans="1:1">
      <c r="A1659" s="10"/>
    </row>
    <row r="1660" spans="1:1">
      <c r="A1660" s="10"/>
    </row>
    <row r="1661" spans="1:1">
      <c r="A1661" s="10"/>
    </row>
    <row r="1662" spans="1:1">
      <c r="A1662" s="10"/>
    </row>
    <row r="1663" spans="1:1">
      <c r="A1663" s="10"/>
    </row>
    <row r="1664" spans="1:1">
      <c r="A1664" s="10"/>
    </row>
    <row r="1665" spans="1:1">
      <c r="A1665" s="10"/>
    </row>
    <row r="1666" spans="1:1">
      <c r="A1666" s="10"/>
    </row>
    <row r="1667" spans="1:1">
      <c r="A1667" s="10"/>
    </row>
    <row r="1668" spans="1:1">
      <c r="A1668" s="10"/>
    </row>
    <row r="1669" spans="1:1">
      <c r="A1669" s="10"/>
    </row>
    <row r="1670" spans="1:1">
      <c r="A1670" s="10"/>
    </row>
    <row r="1671" spans="1:1">
      <c r="A1671" s="10"/>
    </row>
    <row r="1672" spans="1:1">
      <c r="A1672" s="10"/>
    </row>
    <row r="1673" spans="1:1">
      <c r="A1673" s="10"/>
    </row>
    <row r="1674" spans="1:1">
      <c r="A1674" s="10"/>
    </row>
    <row r="1675" spans="1:1">
      <c r="A1675" s="10"/>
    </row>
    <row r="1676" spans="1:1">
      <c r="A1676" s="10"/>
    </row>
    <row r="1677" spans="1:1">
      <c r="A1677" s="10"/>
    </row>
    <row r="1678" spans="1:1">
      <c r="A1678" s="10"/>
    </row>
    <row r="1679" spans="1:1">
      <c r="A1679" s="10"/>
    </row>
    <row r="1680" spans="1:1">
      <c r="A1680" s="10"/>
    </row>
    <row r="1681" spans="1:1">
      <c r="A1681" s="10"/>
    </row>
    <row r="1682" spans="1:1">
      <c r="A1682" s="10"/>
    </row>
    <row r="1683" spans="1:1">
      <c r="A1683" s="10"/>
    </row>
    <row r="1684" spans="1:1">
      <c r="A1684" s="10"/>
    </row>
    <row r="1685" spans="1:1">
      <c r="A1685" s="10"/>
    </row>
    <row r="1686" spans="1:1">
      <c r="A1686" s="10"/>
    </row>
    <row r="1687" spans="1:1">
      <c r="A1687" s="10"/>
    </row>
    <row r="1688" spans="1:1">
      <c r="A1688" s="10"/>
    </row>
    <row r="1689" spans="1:1">
      <c r="A1689" s="10"/>
    </row>
    <row r="1690" spans="1:1">
      <c r="A1690" s="10"/>
    </row>
    <row r="1691" spans="1:1">
      <c r="A1691" s="10"/>
    </row>
    <row r="1692" spans="1:1">
      <c r="A1692" s="10"/>
    </row>
    <row r="1693" spans="1:1">
      <c r="A1693" s="10"/>
    </row>
    <row r="1694" spans="1:1">
      <c r="A1694" s="10"/>
    </row>
    <row r="1695" spans="1:1">
      <c r="A1695" s="10"/>
    </row>
    <row r="1696" spans="1:1">
      <c r="A1696" s="10"/>
    </row>
    <row r="1697" spans="1:1">
      <c r="A1697" s="10"/>
    </row>
    <row r="1698" spans="1:1">
      <c r="A1698" s="10"/>
    </row>
    <row r="1699" spans="1:1">
      <c r="A1699" s="10"/>
    </row>
    <row r="1700" spans="1:1">
      <c r="A1700" s="10"/>
    </row>
    <row r="1701" spans="1:1">
      <c r="A1701" s="10"/>
    </row>
    <row r="1702" spans="1:1">
      <c r="A1702" s="10"/>
    </row>
    <row r="1703" spans="1:1">
      <c r="A1703" s="10"/>
    </row>
    <row r="1704" spans="1:1">
      <c r="A1704" s="10"/>
    </row>
    <row r="1705" spans="1:1">
      <c r="A1705" s="10"/>
    </row>
    <row r="1706" spans="1:1">
      <c r="A1706" s="10"/>
    </row>
    <row r="1707" spans="1:1">
      <c r="A1707" s="10"/>
    </row>
    <row r="1708" spans="1:1">
      <c r="A1708" s="10"/>
    </row>
    <row r="1709" spans="1:1">
      <c r="A1709" s="10"/>
    </row>
    <row r="1710" spans="1:1">
      <c r="A1710" s="10"/>
    </row>
    <row r="1711" spans="1:1">
      <c r="A1711" s="10"/>
    </row>
    <row r="1712" spans="1:1">
      <c r="A1712" s="10"/>
    </row>
    <row r="1713" spans="1:1">
      <c r="A1713" s="10"/>
    </row>
    <row r="1714" spans="1:1">
      <c r="A1714" s="10"/>
    </row>
    <row r="1715" spans="1:1">
      <c r="A1715" s="10"/>
    </row>
    <row r="1716" spans="1:1">
      <c r="A1716" s="10"/>
    </row>
    <row r="1717" spans="1:1">
      <c r="A1717" s="10"/>
    </row>
    <row r="1718" spans="1:1">
      <c r="A1718" s="10"/>
    </row>
    <row r="1719" spans="1:1">
      <c r="A1719" s="10"/>
    </row>
    <row r="1720" spans="1:1">
      <c r="A1720" s="10"/>
    </row>
    <row r="1721" spans="1:1">
      <c r="A1721" s="10"/>
    </row>
    <row r="1722" spans="1:1">
      <c r="A1722" s="10"/>
    </row>
    <row r="1723" spans="1:1">
      <c r="A1723" s="10"/>
    </row>
    <row r="1724" spans="1:1">
      <c r="A1724" s="10"/>
    </row>
    <row r="1725" spans="1:1">
      <c r="A1725" s="10"/>
    </row>
    <row r="1726" spans="1:1">
      <c r="A1726" s="10"/>
    </row>
    <row r="1727" spans="1:1">
      <c r="A1727" s="10"/>
    </row>
    <row r="1728" spans="1:1">
      <c r="A1728" s="10"/>
    </row>
    <row r="1729" spans="1:1">
      <c r="A1729" s="10"/>
    </row>
    <row r="1730" spans="1:1">
      <c r="A1730" s="10"/>
    </row>
    <row r="1731" spans="1:1">
      <c r="A1731" s="10"/>
    </row>
    <row r="1732" spans="1:1">
      <c r="A1732" s="10"/>
    </row>
    <row r="1733" spans="1:1">
      <c r="A1733" s="10"/>
    </row>
    <row r="1734" spans="1:1">
      <c r="A1734" s="10"/>
    </row>
    <row r="1735" spans="1:1">
      <c r="A1735" s="10"/>
    </row>
    <row r="1736" spans="1:1">
      <c r="A1736" s="10"/>
    </row>
    <row r="1737" spans="1:1">
      <c r="A1737" s="10"/>
    </row>
    <row r="1738" spans="1:1">
      <c r="A1738" s="10"/>
    </row>
    <row r="1739" spans="1:1">
      <c r="A1739" s="10"/>
    </row>
    <row r="1740" spans="1:1">
      <c r="A1740" s="10"/>
    </row>
    <row r="1741" spans="1:1">
      <c r="A1741" s="10"/>
    </row>
    <row r="1742" spans="1:1">
      <c r="A1742" s="10"/>
    </row>
    <row r="1743" spans="1:1">
      <c r="A1743" s="10"/>
    </row>
    <row r="1744" spans="1:1">
      <c r="A1744" s="10"/>
    </row>
    <row r="1745" spans="1:1">
      <c r="A1745" s="10"/>
    </row>
    <row r="1746" spans="1:1">
      <c r="A1746" s="10"/>
    </row>
    <row r="1747" spans="1:1">
      <c r="A1747" s="10"/>
    </row>
    <row r="1748" spans="1:1">
      <c r="A1748" s="10"/>
    </row>
    <row r="1749" spans="1:1">
      <c r="A1749" s="10"/>
    </row>
    <row r="1750" spans="1:1">
      <c r="A1750" s="10"/>
    </row>
    <row r="1751" spans="1:1">
      <c r="A1751" s="10"/>
    </row>
    <row r="1752" spans="1:1">
      <c r="A1752" s="10"/>
    </row>
    <row r="1753" spans="1:1">
      <c r="A1753" s="10"/>
    </row>
    <row r="1754" spans="1:1">
      <c r="A1754" s="10"/>
    </row>
    <row r="1755" spans="1:1">
      <c r="A1755" s="10"/>
    </row>
    <row r="1756" spans="1:1">
      <c r="A1756" s="10"/>
    </row>
    <row r="1757" spans="1:1">
      <c r="A1757" s="10"/>
    </row>
    <row r="1758" spans="1:1">
      <c r="A1758" s="10"/>
    </row>
    <row r="1759" spans="1:1">
      <c r="A1759" s="10"/>
    </row>
    <row r="1760" spans="1:1">
      <c r="A1760" s="10"/>
    </row>
    <row r="1761" spans="1:1">
      <c r="A1761" s="10"/>
    </row>
    <row r="1762" spans="1:1">
      <c r="A1762" s="10"/>
    </row>
    <row r="1763" spans="1:1">
      <c r="A1763" s="10"/>
    </row>
    <row r="1764" spans="1:1">
      <c r="A1764" s="10"/>
    </row>
    <row r="1765" spans="1:1">
      <c r="A1765" s="10"/>
    </row>
    <row r="1766" spans="1:1">
      <c r="A1766" s="10"/>
    </row>
    <row r="1767" spans="1:1">
      <c r="A1767" s="10"/>
    </row>
    <row r="1768" spans="1:1">
      <c r="A1768" s="10"/>
    </row>
    <row r="1769" spans="1:1">
      <c r="A1769" s="10"/>
    </row>
    <row r="1770" spans="1:1">
      <c r="A1770" s="10"/>
    </row>
    <row r="1771" spans="1:1">
      <c r="A1771" s="10"/>
    </row>
    <row r="1772" spans="1:1">
      <c r="A1772" s="10"/>
    </row>
    <row r="1773" spans="1:1">
      <c r="A1773" s="10"/>
    </row>
    <row r="1774" spans="1:1">
      <c r="A1774" s="10"/>
    </row>
    <row r="1775" spans="1:1">
      <c r="A1775" s="10"/>
    </row>
    <row r="1776" spans="1:1">
      <c r="A1776" s="10"/>
    </row>
    <row r="1777" spans="1:1">
      <c r="A1777" s="10"/>
    </row>
    <row r="1778" spans="1:1">
      <c r="A1778" s="10"/>
    </row>
    <row r="1779" spans="1:1">
      <c r="A1779" s="10"/>
    </row>
    <row r="1780" spans="1:1">
      <c r="A1780" s="10"/>
    </row>
    <row r="1781" spans="1:1">
      <c r="A1781" s="10"/>
    </row>
    <row r="1782" spans="1:1">
      <c r="A1782" s="10"/>
    </row>
    <row r="1783" spans="1:1">
      <c r="A1783" s="10"/>
    </row>
    <row r="1784" spans="1:1">
      <c r="A1784" s="10"/>
    </row>
    <row r="1785" spans="1:1">
      <c r="A1785" s="10"/>
    </row>
    <row r="1786" spans="1:1">
      <c r="A1786" s="10"/>
    </row>
    <row r="1787" spans="1:1">
      <c r="A1787" s="10"/>
    </row>
    <row r="1788" spans="1:1">
      <c r="A1788" s="10"/>
    </row>
    <row r="1789" spans="1:1">
      <c r="A1789" s="10"/>
    </row>
    <row r="1790" spans="1:1">
      <c r="A1790" s="10"/>
    </row>
    <row r="1791" spans="1:1">
      <c r="A1791" s="10"/>
    </row>
    <row r="1792" spans="1:1">
      <c r="A1792" s="10"/>
    </row>
    <row r="1793" spans="1:1">
      <c r="A1793" s="10"/>
    </row>
    <row r="1794" spans="1:1">
      <c r="A1794" s="10"/>
    </row>
    <row r="1795" spans="1:1">
      <c r="A1795" s="10"/>
    </row>
    <row r="1796" spans="1:1">
      <c r="A1796" s="10"/>
    </row>
    <row r="1797" spans="1:1">
      <c r="A1797" s="10"/>
    </row>
    <row r="1798" spans="1:1">
      <c r="A1798" s="10"/>
    </row>
    <row r="1799" spans="1:1">
      <c r="A1799" s="10"/>
    </row>
    <row r="1800" spans="1:1">
      <c r="A1800" s="10"/>
    </row>
    <row r="1801" spans="1:1">
      <c r="A1801" s="10"/>
    </row>
    <row r="1802" spans="1:1">
      <c r="A1802" s="10"/>
    </row>
    <row r="1803" spans="1:1">
      <c r="A1803" s="10"/>
    </row>
    <row r="1804" spans="1:1">
      <c r="A1804" s="10"/>
    </row>
    <row r="1805" spans="1:1">
      <c r="A1805" s="10"/>
    </row>
    <row r="1806" spans="1:1">
      <c r="A1806" s="10"/>
    </row>
    <row r="1807" spans="1:1">
      <c r="A1807" s="10"/>
    </row>
    <row r="1808" spans="1:1">
      <c r="A1808" s="10"/>
    </row>
    <row r="1809" spans="1:1">
      <c r="A1809" s="10"/>
    </row>
    <row r="1810" spans="1:1">
      <c r="A1810" s="10"/>
    </row>
    <row r="1811" spans="1:1">
      <c r="A1811" s="10"/>
    </row>
    <row r="1812" spans="1:1">
      <c r="A1812" s="10"/>
    </row>
    <row r="1813" spans="1:1">
      <c r="A1813" s="10"/>
    </row>
    <row r="1814" spans="1:1">
      <c r="A1814" s="10"/>
    </row>
    <row r="1815" spans="1:1">
      <c r="A1815" s="10"/>
    </row>
    <row r="1816" spans="1:1">
      <c r="A1816" s="10"/>
    </row>
    <row r="1817" spans="1:1">
      <c r="A1817" s="10"/>
    </row>
    <row r="1818" spans="1:1">
      <c r="A1818" s="10"/>
    </row>
    <row r="1819" spans="1:1">
      <c r="A1819" s="10"/>
    </row>
    <row r="1820" spans="1:1">
      <c r="A1820" s="10"/>
    </row>
    <row r="1821" spans="1:1">
      <c r="A1821" s="10"/>
    </row>
    <row r="1822" spans="1:1">
      <c r="A1822" s="10"/>
    </row>
    <row r="1823" spans="1:1">
      <c r="A1823" s="10"/>
    </row>
    <row r="1824" spans="1:1">
      <c r="A1824" s="10"/>
    </row>
    <row r="1825" spans="1:1">
      <c r="A1825" s="10"/>
    </row>
    <row r="1826" spans="1:1">
      <c r="A1826" s="10"/>
    </row>
    <row r="1827" spans="1:1">
      <c r="A1827" s="10"/>
    </row>
    <row r="1828" spans="1:1">
      <c r="A1828" s="10"/>
    </row>
    <row r="1829" spans="1:1">
      <c r="A1829" s="10"/>
    </row>
    <row r="1830" spans="1:1">
      <c r="A1830" s="10"/>
    </row>
    <row r="1831" spans="1:1">
      <c r="A1831" s="10"/>
    </row>
    <row r="1832" spans="1:1">
      <c r="A1832" s="10"/>
    </row>
    <row r="1833" spans="1:1">
      <c r="A1833" s="10"/>
    </row>
    <row r="1834" spans="1:1">
      <c r="A1834" s="10"/>
    </row>
    <row r="1835" spans="1:1">
      <c r="A1835" s="10"/>
    </row>
    <row r="1836" spans="1:1">
      <c r="A1836" s="10"/>
    </row>
    <row r="1837" spans="1:1">
      <c r="A1837" s="10"/>
    </row>
    <row r="1838" spans="1:1">
      <c r="A1838" s="10"/>
    </row>
    <row r="1839" spans="1:1">
      <c r="A1839" s="10"/>
    </row>
    <row r="1840" spans="1:1">
      <c r="A1840" s="10"/>
    </row>
    <row r="1841" spans="1:1">
      <c r="A1841" s="10"/>
    </row>
    <row r="1842" spans="1:1">
      <c r="A1842" s="10"/>
    </row>
    <row r="1843" spans="1:1">
      <c r="A1843" s="10"/>
    </row>
    <row r="1844" spans="1:1">
      <c r="A1844" s="10"/>
    </row>
    <row r="1845" spans="1:1">
      <c r="A1845" s="10"/>
    </row>
    <row r="1846" spans="1:1">
      <c r="A1846" s="10"/>
    </row>
    <row r="1847" spans="1:1">
      <c r="A1847" s="10"/>
    </row>
    <row r="1848" spans="1:1">
      <c r="A1848" s="10"/>
    </row>
    <row r="1849" spans="1:1">
      <c r="A1849" s="10"/>
    </row>
    <row r="1850" spans="1:1">
      <c r="A1850" s="10"/>
    </row>
    <row r="1851" spans="1:1">
      <c r="A1851" s="10"/>
    </row>
    <row r="1852" spans="1:1">
      <c r="A1852" s="10"/>
    </row>
    <row r="1853" spans="1:1">
      <c r="A1853" s="10"/>
    </row>
    <row r="1854" spans="1:1">
      <c r="A1854" s="10"/>
    </row>
    <row r="1855" spans="1:1">
      <c r="A1855" s="10"/>
    </row>
    <row r="1856" spans="1:1">
      <c r="A1856" s="10"/>
    </row>
    <row r="1857" spans="1:1">
      <c r="A1857" s="10"/>
    </row>
    <row r="1858" spans="1:1">
      <c r="A1858" s="10"/>
    </row>
    <row r="1859" spans="1:1">
      <c r="A1859" s="10"/>
    </row>
    <row r="1860" spans="1:1">
      <c r="A1860" s="10"/>
    </row>
    <row r="1861" spans="1:1">
      <c r="A1861" s="10"/>
    </row>
    <row r="1862" spans="1:1">
      <c r="A1862" s="10"/>
    </row>
    <row r="1863" spans="1:1">
      <c r="A1863" s="10"/>
    </row>
    <row r="1864" spans="1:1">
      <c r="A1864" s="10"/>
    </row>
    <row r="1865" spans="1:1">
      <c r="A1865" s="10"/>
    </row>
    <row r="1866" spans="1:1">
      <c r="A1866" s="10"/>
    </row>
    <row r="1867" spans="1:1">
      <c r="A1867" s="10"/>
    </row>
    <row r="1868" spans="1:1">
      <c r="A1868" s="10"/>
    </row>
    <row r="1869" spans="1:1">
      <c r="A1869" s="10"/>
    </row>
    <row r="1870" spans="1:1">
      <c r="A1870" s="10"/>
    </row>
    <row r="1871" spans="1:1">
      <c r="A1871" s="10"/>
    </row>
    <row r="1872" spans="1:1">
      <c r="A1872" s="10"/>
    </row>
    <row r="1873" spans="1:1">
      <c r="A1873" s="10"/>
    </row>
    <row r="1874" spans="1:1">
      <c r="A1874" s="10"/>
    </row>
    <row r="1875" spans="1:1">
      <c r="A1875" s="10"/>
    </row>
    <row r="1876" spans="1:1">
      <c r="A1876" s="10"/>
    </row>
    <row r="1877" spans="1:1">
      <c r="A1877" s="10"/>
    </row>
    <row r="1878" spans="1:1">
      <c r="A1878" s="10"/>
    </row>
    <row r="1879" spans="1:1">
      <c r="A1879" s="10"/>
    </row>
    <row r="1880" spans="1:1">
      <c r="A1880" s="10"/>
    </row>
    <row r="1881" spans="1:1">
      <c r="A1881" s="10"/>
    </row>
    <row r="1882" spans="1:1">
      <c r="A1882" s="10"/>
    </row>
    <row r="1883" spans="1:1">
      <c r="A1883" s="10"/>
    </row>
    <row r="1884" spans="1:1">
      <c r="A1884" s="10"/>
    </row>
    <row r="1885" spans="1:1">
      <c r="A1885" s="10"/>
    </row>
    <row r="1886" spans="1:1">
      <c r="A1886" s="10"/>
    </row>
    <row r="1887" spans="1:1">
      <c r="A1887" s="10"/>
    </row>
    <row r="1888" spans="1:1">
      <c r="A1888" s="10"/>
    </row>
    <row r="1889" spans="1:1">
      <c r="A1889" s="10"/>
    </row>
    <row r="1890" spans="1:1">
      <c r="A1890" s="10"/>
    </row>
    <row r="1891" spans="1:1">
      <c r="A1891" s="10"/>
    </row>
    <row r="1892" spans="1:1">
      <c r="A1892" s="10"/>
    </row>
    <row r="1893" spans="1:1">
      <c r="A1893" s="10"/>
    </row>
    <row r="1894" spans="1:1">
      <c r="A1894" s="10"/>
    </row>
    <row r="1895" spans="1:1">
      <c r="A1895" s="10"/>
    </row>
    <row r="1896" spans="1:1">
      <c r="A1896" s="10"/>
    </row>
    <row r="1897" spans="1:1">
      <c r="A1897" s="10"/>
    </row>
    <row r="1898" spans="1:1">
      <c r="A1898" s="10"/>
    </row>
    <row r="1899" spans="1:1">
      <c r="A1899" s="10"/>
    </row>
    <row r="1900" spans="1:1">
      <c r="A1900" s="10"/>
    </row>
    <row r="1901" spans="1:1">
      <c r="A1901" s="10"/>
    </row>
    <row r="1902" spans="1:1">
      <c r="A1902" s="10"/>
    </row>
    <row r="1903" spans="1:1">
      <c r="A1903" s="10"/>
    </row>
    <row r="1904" spans="1:1">
      <c r="A1904" s="10"/>
    </row>
    <row r="1905" spans="1:1">
      <c r="A1905" s="10"/>
    </row>
    <row r="1906" spans="1:1">
      <c r="A1906" s="10"/>
    </row>
    <row r="1907" spans="1:1">
      <c r="A1907" s="10"/>
    </row>
    <row r="1908" spans="1:1">
      <c r="A1908" s="10"/>
    </row>
    <row r="1909" spans="1:1">
      <c r="A1909" s="10"/>
    </row>
    <row r="1910" spans="1:1">
      <c r="A1910" s="10"/>
    </row>
    <row r="1911" spans="1:1">
      <c r="A1911" s="10"/>
    </row>
    <row r="1912" spans="1:1">
      <c r="A1912" s="10"/>
    </row>
    <row r="1913" spans="1:1">
      <c r="A1913" s="10"/>
    </row>
    <row r="1914" spans="1:1">
      <c r="A1914" s="10"/>
    </row>
    <row r="1915" spans="1:1">
      <c r="A1915" s="10"/>
    </row>
    <row r="1916" spans="1:1">
      <c r="A1916" s="10"/>
    </row>
    <row r="1917" spans="1:1">
      <c r="A1917" s="10"/>
    </row>
    <row r="1918" spans="1:1">
      <c r="A1918" s="10"/>
    </row>
    <row r="1919" spans="1:1">
      <c r="A1919" s="10"/>
    </row>
    <row r="1920" spans="1:1">
      <c r="A1920" s="10"/>
    </row>
    <row r="1921" spans="1:1">
      <c r="A1921" s="10"/>
    </row>
    <row r="1922" spans="1:1">
      <c r="A1922" s="10"/>
    </row>
    <row r="1923" spans="1:1">
      <c r="A1923" s="10"/>
    </row>
    <row r="1924" spans="1:1">
      <c r="A1924" s="10"/>
    </row>
    <row r="1925" spans="1:1">
      <c r="A1925" s="10"/>
    </row>
    <row r="1926" spans="1:1">
      <c r="A1926" s="10"/>
    </row>
    <row r="1927" spans="1:1">
      <c r="A1927" s="10"/>
    </row>
    <row r="1928" spans="1:1">
      <c r="A1928" s="10"/>
    </row>
    <row r="1929" spans="1:1">
      <c r="A1929" s="10"/>
    </row>
    <row r="1930" spans="1:1">
      <c r="A1930" s="10"/>
    </row>
    <row r="1931" spans="1:1">
      <c r="A1931" s="10"/>
    </row>
    <row r="1932" spans="1:1">
      <c r="A1932" s="10"/>
    </row>
    <row r="1933" spans="1:1">
      <c r="A1933" s="10"/>
    </row>
    <row r="1934" spans="1:1">
      <c r="A1934" s="10"/>
    </row>
    <row r="1935" spans="1:1">
      <c r="A1935" s="10"/>
    </row>
    <row r="1936" spans="1:1">
      <c r="A1936" s="10"/>
    </row>
    <row r="1937" spans="1:1">
      <c r="A1937" s="10"/>
    </row>
    <row r="1938" spans="1:1">
      <c r="A1938" s="10"/>
    </row>
    <row r="1939" spans="1:1">
      <c r="A1939" s="10"/>
    </row>
    <row r="1940" spans="1:1">
      <c r="A1940" s="10"/>
    </row>
    <row r="1941" spans="1:1">
      <c r="A1941" s="10"/>
    </row>
    <row r="1942" spans="1:1">
      <c r="A1942" s="10"/>
    </row>
    <row r="1943" spans="1:1">
      <c r="A1943" s="10"/>
    </row>
    <row r="1944" spans="1:1">
      <c r="A1944" s="10"/>
    </row>
    <row r="1945" spans="1:1">
      <c r="A1945" s="10"/>
    </row>
    <row r="1946" spans="1:1">
      <c r="A1946" s="10"/>
    </row>
    <row r="1947" spans="1:1">
      <c r="A1947" s="10"/>
    </row>
    <row r="1948" spans="1:1">
      <c r="A1948" s="10"/>
    </row>
    <row r="1949" spans="1:1">
      <c r="A1949" s="10"/>
    </row>
    <row r="1950" spans="1:1">
      <c r="A1950" s="10"/>
    </row>
    <row r="1951" spans="1:1">
      <c r="A1951" s="10"/>
    </row>
    <row r="1952" spans="1:1">
      <c r="A1952" s="10"/>
    </row>
    <row r="1953" spans="1:1">
      <c r="A1953" s="10"/>
    </row>
    <row r="1954" spans="1:1">
      <c r="A1954" s="10"/>
    </row>
    <row r="1955" spans="1:1">
      <c r="A1955" s="10"/>
    </row>
    <row r="1956" spans="1:1">
      <c r="A1956" s="10"/>
    </row>
    <row r="1957" spans="1:1">
      <c r="A1957" s="10"/>
    </row>
    <row r="1958" spans="1:1">
      <c r="A1958" s="10"/>
    </row>
    <row r="1959" spans="1:1">
      <c r="A1959" s="10"/>
    </row>
    <row r="1960" spans="1:1">
      <c r="A1960" s="10"/>
    </row>
    <row r="1961" spans="1:1">
      <c r="A1961" s="10"/>
    </row>
    <row r="1962" spans="1:1">
      <c r="A1962" s="10"/>
    </row>
    <row r="1963" spans="1:1">
      <c r="A1963" s="10"/>
    </row>
    <row r="1964" spans="1:1">
      <c r="A1964" s="10"/>
    </row>
    <row r="1965" spans="1:1">
      <c r="A1965" s="10"/>
    </row>
    <row r="1966" spans="1:1">
      <c r="A1966" s="10"/>
    </row>
    <row r="1967" spans="1:1">
      <c r="A1967" s="10"/>
    </row>
    <row r="1968" spans="1:1">
      <c r="A1968" s="10"/>
    </row>
    <row r="1969" spans="1:1">
      <c r="A1969" s="10"/>
    </row>
    <row r="1970" spans="1:1">
      <c r="A1970" s="10"/>
    </row>
    <row r="1971" spans="1:1">
      <c r="A1971" s="10"/>
    </row>
    <row r="1972" spans="1:1">
      <c r="A1972" s="10"/>
    </row>
    <row r="1973" spans="1:1">
      <c r="A1973" s="10"/>
    </row>
    <row r="1974" spans="1:1">
      <c r="A1974" s="10"/>
    </row>
    <row r="1975" spans="1:1">
      <c r="A1975" s="10"/>
    </row>
    <row r="1976" spans="1:1">
      <c r="A1976" s="10"/>
    </row>
    <row r="1977" spans="1:1">
      <c r="A1977" s="10"/>
    </row>
    <row r="1978" spans="1:1">
      <c r="A1978" s="10"/>
    </row>
    <row r="1979" spans="1:1">
      <c r="A1979" s="10"/>
    </row>
    <row r="1980" spans="1:1">
      <c r="A1980" s="10"/>
    </row>
    <row r="1981" spans="1:1">
      <c r="A1981" s="10"/>
    </row>
    <row r="1982" spans="1:1">
      <c r="A1982" s="10"/>
    </row>
    <row r="1983" spans="1:1">
      <c r="A1983" s="10"/>
    </row>
    <row r="1984" spans="1:1">
      <c r="A1984" s="10"/>
    </row>
    <row r="1985" spans="1:1">
      <c r="A1985" s="10"/>
    </row>
    <row r="1986" spans="1:1">
      <c r="A1986" s="10"/>
    </row>
    <row r="1987" spans="1:1">
      <c r="A1987" s="10"/>
    </row>
    <row r="1988" spans="1:1">
      <c r="A1988" s="10"/>
    </row>
    <row r="1989" spans="1:1">
      <c r="A1989" s="10"/>
    </row>
    <row r="1990" spans="1:1">
      <c r="A1990" s="10"/>
    </row>
    <row r="1991" spans="1:1">
      <c r="A1991" s="10"/>
    </row>
    <row r="1992" spans="1:1">
      <c r="A1992" s="10"/>
    </row>
    <row r="1993" spans="1:1">
      <c r="A1993" s="10"/>
    </row>
    <row r="1994" spans="1:1">
      <c r="A1994" s="10"/>
    </row>
    <row r="1995" spans="1:1">
      <c r="A1995" s="10"/>
    </row>
    <row r="1996" spans="1:1">
      <c r="A1996" s="10"/>
    </row>
    <row r="1997" spans="1:1">
      <c r="A1997" s="10"/>
    </row>
    <row r="1998" spans="1:1">
      <c r="A1998" s="10"/>
    </row>
    <row r="1999" spans="1:1">
      <c r="A1999" s="10"/>
    </row>
    <row r="2000" spans="1:1">
      <c r="A2000" s="10"/>
    </row>
    <row r="2001" spans="1:1">
      <c r="A2001" s="10"/>
    </row>
    <row r="2002" spans="1:1">
      <c r="A2002" s="10"/>
    </row>
    <row r="2003" spans="1:1">
      <c r="A2003" s="10"/>
    </row>
    <row r="2004" spans="1:1">
      <c r="A2004" s="10"/>
    </row>
    <row r="2005" spans="1:1">
      <c r="A2005" s="10"/>
    </row>
    <row r="2006" spans="1:1">
      <c r="A2006" s="10"/>
    </row>
    <row r="2007" spans="1:1">
      <c r="A2007" s="10"/>
    </row>
    <row r="2008" spans="1:1">
      <c r="A2008" s="10"/>
    </row>
    <row r="2009" spans="1:1">
      <c r="A2009" s="10"/>
    </row>
    <row r="2010" spans="1:1">
      <c r="A2010" s="10"/>
    </row>
    <row r="2011" spans="1:1">
      <c r="A2011" s="10"/>
    </row>
    <row r="2012" spans="1:1">
      <c r="A2012" s="10"/>
    </row>
    <row r="2013" spans="1:1">
      <c r="A2013" s="10"/>
    </row>
    <row r="2014" spans="1:1">
      <c r="A2014" s="10"/>
    </row>
    <row r="2015" spans="1:1">
      <c r="A2015" s="10"/>
    </row>
    <row r="2016" spans="1:1">
      <c r="A2016" s="10"/>
    </row>
    <row r="2017" spans="1:1">
      <c r="A2017" s="10"/>
    </row>
    <row r="2018" spans="1:1">
      <c r="A2018" s="10"/>
    </row>
    <row r="2019" spans="1:1">
      <c r="A2019" s="10"/>
    </row>
    <row r="2020" spans="1:1">
      <c r="A2020" s="10"/>
    </row>
    <row r="2021" spans="1:1">
      <c r="A2021" s="10"/>
    </row>
    <row r="2022" spans="1:1">
      <c r="A2022" s="10"/>
    </row>
    <row r="2023" spans="1:1">
      <c r="A2023" s="10"/>
    </row>
    <row r="2024" spans="1:1">
      <c r="A2024" s="10"/>
    </row>
    <row r="2025" spans="1:1">
      <c r="A2025" s="10"/>
    </row>
    <row r="2026" spans="1:1">
      <c r="A2026" s="10"/>
    </row>
    <row r="2027" spans="1:1">
      <c r="A2027" s="10"/>
    </row>
    <row r="2028" spans="1:1">
      <c r="A2028" s="10"/>
    </row>
    <row r="2029" spans="1:1">
      <c r="A2029" s="10"/>
    </row>
    <row r="2030" spans="1:1">
      <c r="A2030" s="10"/>
    </row>
    <row r="2031" spans="1:1">
      <c r="A2031" s="10"/>
    </row>
    <row r="2032" spans="1:1">
      <c r="A2032" s="10"/>
    </row>
    <row r="2033" spans="1:1">
      <c r="A2033" s="10"/>
    </row>
    <row r="2034" spans="1:1">
      <c r="A2034" s="10"/>
    </row>
    <row r="2035" spans="1:1">
      <c r="A2035" s="10"/>
    </row>
    <row r="2036" spans="1:1">
      <c r="A2036" s="10"/>
    </row>
    <row r="2037" spans="1:1">
      <c r="A2037" s="10"/>
    </row>
    <row r="2038" spans="1:1">
      <c r="A2038" s="10"/>
    </row>
    <row r="2039" spans="1:1">
      <c r="A2039" s="10"/>
    </row>
    <row r="2040" spans="1:1">
      <c r="A2040" s="10"/>
    </row>
    <row r="2041" spans="1:1">
      <c r="A2041" s="10"/>
    </row>
    <row r="2042" spans="1:1">
      <c r="A2042" s="10"/>
    </row>
    <row r="2043" spans="1:1">
      <c r="A2043" s="10"/>
    </row>
    <row r="2044" spans="1:1">
      <c r="A2044" s="10"/>
    </row>
    <row r="2045" spans="1:1">
      <c r="A2045" s="10"/>
    </row>
    <row r="2046" spans="1:1">
      <c r="A2046" s="10"/>
    </row>
    <row r="2047" spans="1:1">
      <c r="A2047" s="10"/>
    </row>
    <row r="2048" spans="1:1">
      <c r="A2048" s="10"/>
    </row>
    <row r="2049" spans="1:1">
      <c r="A2049" s="10"/>
    </row>
    <row r="2050" spans="1:1">
      <c r="A2050" s="10"/>
    </row>
    <row r="2051" spans="1:1">
      <c r="A2051" s="10"/>
    </row>
    <row r="2052" spans="1:1">
      <c r="A2052" s="10"/>
    </row>
    <row r="2053" spans="1:1">
      <c r="A2053" s="10"/>
    </row>
    <row r="2054" spans="1:1">
      <c r="A2054" s="10"/>
    </row>
    <row r="2055" spans="1:1">
      <c r="A2055" s="10"/>
    </row>
    <row r="2056" spans="1:1">
      <c r="A2056" s="10"/>
    </row>
    <row r="2057" spans="1:1">
      <c r="A2057" s="10"/>
    </row>
    <row r="2058" spans="1:1">
      <c r="A2058" s="10"/>
    </row>
    <row r="2059" spans="1:1">
      <c r="A2059" s="10"/>
    </row>
    <row r="2060" spans="1:1">
      <c r="A2060" s="10"/>
    </row>
    <row r="2061" spans="1:1">
      <c r="A2061" s="10"/>
    </row>
    <row r="2062" spans="1:1">
      <c r="A2062" s="10"/>
    </row>
    <row r="2063" spans="1:1">
      <c r="A2063" s="10"/>
    </row>
    <row r="2064" spans="1:1">
      <c r="A2064" s="10"/>
    </row>
    <row r="2065" spans="1:1">
      <c r="A2065" s="10"/>
    </row>
    <row r="2066" spans="1:1">
      <c r="A2066" s="10"/>
    </row>
    <row r="2067" spans="1:1">
      <c r="A2067" s="10"/>
    </row>
    <row r="2068" spans="1:1">
      <c r="A2068" s="10"/>
    </row>
    <row r="2069" spans="1:1">
      <c r="A2069" s="10"/>
    </row>
    <row r="2070" spans="1:1">
      <c r="A2070" s="10"/>
    </row>
    <row r="2071" spans="1:1">
      <c r="A2071" s="10"/>
    </row>
    <row r="2072" spans="1:1">
      <c r="A2072" s="10"/>
    </row>
    <row r="2073" spans="1:1">
      <c r="A2073" s="10"/>
    </row>
    <row r="2074" spans="1:1">
      <c r="A2074" s="10"/>
    </row>
    <row r="2075" spans="1:1">
      <c r="A2075" s="10"/>
    </row>
    <row r="2076" spans="1:1">
      <c r="A2076" s="10"/>
    </row>
    <row r="2077" spans="1:1">
      <c r="A2077" s="10"/>
    </row>
    <row r="2078" spans="1:1">
      <c r="A2078" s="10"/>
    </row>
    <row r="2079" spans="1:1">
      <c r="A2079" s="10"/>
    </row>
    <row r="2080" spans="1:1">
      <c r="A2080" s="10"/>
    </row>
    <row r="2081" spans="1:1">
      <c r="A2081" s="10"/>
    </row>
    <row r="2082" spans="1:1">
      <c r="A2082" s="10"/>
    </row>
    <row r="2083" spans="1:1">
      <c r="A2083" s="10"/>
    </row>
    <row r="2084" spans="1:1">
      <c r="A2084" s="10"/>
    </row>
    <row r="2085" spans="1:1">
      <c r="A2085" s="10"/>
    </row>
    <row r="2086" spans="1:1">
      <c r="A2086" s="10"/>
    </row>
    <row r="2087" spans="1:1">
      <c r="A2087" s="10"/>
    </row>
    <row r="2088" spans="1:1">
      <c r="A2088" s="10"/>
    </row>
    <row r="2089" spans="1:1">
      <c r="A2089" s="10"/>
    </row>
    <row r="2090" spans="1:1">
      <c r="A2090" s="10"/>
    </row>
    <row r="2091" spans="1:1">
      <c r="A2091" s="10"/>
    </row>
    <row r="2092" spans="1:1">
      <c r="A2092" s="10"/>
    </row>
    <row r="2093" spans="1:1">
      <c r="A2093" s="10"/>
    </row>
    <row r="2094" spans="1:1">
      <c r="A2094" s="10"/>
    </row>
    <row r="2095" spans="1:1">
      <c r="A2095" s="10"/>
    </row>
    <row r="2096" spans="1:1">
      <c r="A2096" s="10"/>
    </row>
    <row r="2097" spans="1:1">
      <c r="A2097" s="10"/>
    </row>
    <row r="2098" spans="1:1">
      <c r="A2098" s="10"/>
    </row>
    <row r="2099" spans="1:1">
      <c r="A2099" s="10"/>
    </row>
    <row r="2100" spans="1:1">
      <c r="A2100" s="10"/>
    </row>
    <row r="2101" spans="1:1">
      <c r="A2101" s="10"/>
    </row>
    <row r="2102" spans="1:1">
      <c r="A2102" s="10"/>
    </row>
    <row r="2103" spans="1:1">
      <c r="A2103" s="10"/>
    </row>
    <row r="2104" spans="1:1">
      <c r="A2104" s="10"/>
    </row>
    <row r="2105" spans="1:1">
      <c r="A2105" s="10"/>
    </row>
    <row r="2106" spans="1:1">
      <c r="A2106" s="10"/>
    </row>
    <row r="2107" spans="1:1">
      <c r="A2107" s="10"/>
    </row>
    <row r="2108" spans="1:1">
      <c r="A2108" s="10"/>
    </row>
    <row r="2109" spans="1:1">
      <c r="A2109" s="10"/>
    </row>
    <row r="2110" spans="1:1">
      <c r="A2110" s="10"/>
    </row>
    <row r="2111" spans="1:1">
      <c r="A2111" s="10"/>
    </row>
    <row r="2112" spans="1:1">
      <c r="A2112" s="10"/>
    </row>
    <row r="2113" spans="1:1">
      <c r="A2113" s="10"/>
    </row>
    <row r="2114" spans="1:1">
      <c r="A2114" s="10"/>
    </row>
    <row r="2115" spans="1:1">
      <c r="A2115" s="10"/>
    </row>
    <row r="2116" spans="1:1">
      <c r="A2116" s="10"/>
    </row>
    <row r="2117" spans="1:1">
      <c r="A2117" s="10"/>
    </row>
    <row r="2118" spans="1:1">
      <c r="A2118" s="10"/>
    </row>
    <row r="2119" spans="1:1">
      <c r="A2119" s="10"/>
    </row>
    <row r="2120" spans="1:1">
      <c r="A2120" s="10"/>
    </row>
    <row r="2121" spans="1:1">
      <c r="A2121" s="10"/>
    </row>
    <row r="2122" spans="1:1">
      <c r="A2122" s="10"/>
    </row>
    <row r="2123" spans="1:1">
      <c r="A2123" s="10"/>
    </row>
    <row r="2124" spans="1:1">
      <c r="A2124" s="10"/>
    </row>
    <row r="2125" spans="1:1">
      <c r="A2125" s="10"/>
    </row>
    <row r="2126" spans="1:1">
      <c r="A2126" s="10"/>
    </row>
    <row r="2127" spans="1:1">
      <c r="A2127" s="10"/>
    </row>
    <row r="2128" spans="1:1">
      <c r="A2128" s="10"/>
    </row>
    <row r="2129" spans="1:1">
      <c r="A2129" s="10"/>
    </row>
    <row r="2130" spans="1:1">
      <c r="A2130" s="10"/>
    </row>
    <row r="2131" spans="1:1">
      <c r="A2131" s="10"/>
    </row>
    <row r="2132" spans="1:1">
      <c r="A2132" s="10"/>
    </row>
    <row r="2133" spans="1:1">
      <c r="A2133" s="10"/>
    </row>
    <row r="2134" spans="1:1">
      <c r="A2134" s="10"/>
    </row>
    <row r="2135" spans="1:1">
      <c r="A2135" s="10"/>
    </row>
    <row r="2136" spans="1:1">
      <c r="A2136" s="10"/>
    </row>
    <row r="2137" spans="1:1">
      <c r="A2137" s="10"/>
    </row>
    <row r="2138" spans="1:1">
      <c r="A2138" s="10"/>
    </row>
    <row r="2139" spans="1:1">
      <c r="A2139" s="10"/>
    </row>
    <row r="2140" spans="1:1">
      <c r="A2140" s="10"/>
    </row>
    <row r="2141" spans="1:1">
      <c r="A2141" s="10"/>
    </row>
    <row r="2142" spans="1:1">
      <c r="A2142" s="10"/>
    </row>
    <row r="2143" spans="1:1">
      <c r="A2143" s="10"/>
    </row>
    <row r="2144" spans="1:1">
      <c r="A2144" s="10"/>
    </row>
    <row r="2145" spans="1:1">
      <c r="A2145" s="10"/>
    </row>
    <row r="2146" spans="1:1">
      <c r="A2146" s="10"/>
    </row>
    <row r="2147" spans="1:1">
      <c r="A2147" s="10"/>
    </row>
    <row r="2148" spans="1:1">
      <c r="A2148" s="10"/>
    </row>
    <row r="2149" spans="1:1">
      <c r="A2149" s="10"/>
    </row>
    <row r="2150" spans="1:1">
      <c r="A2150" s="10"/>
    </row>
    <row r="2151" spans="1:1">
      <c r="A2151" s="10"/>
    </row>
    <row r="2152" spans="1:1">
      <c r="A2152" s="10"/>
    </row>
    <row r="2153" spans="1:1">
      <c r="A2153" s="10"/>
    </row>
    <row r="2154" spans="1:1">
      <c r="A2154" s="10"/>
    </row>
    <row r="2155" spans="1:1">
      <c r="A2155" s="10"/>
    </row>
    <row r="2156" spans="1:1">
      <c r="A2156" s="10"/>
    </row>
    <row r="2157" spans="1:1">
      <c r="A2157" s="10"/>
    </row>
    <row r="2158" spans="1:1">
      <c r="A2158" s="10"/>
    </row>
    <row r="2159" spans="1:1">
      <c r="A2159" s="10"/>
    </row>
    <row r="2160" spans="1:1">
      <c r="A2160" s="10"/>
    </row>
    <row r="2161" spans="1:1">
      <c r="A2161" s="10"/>
    </row>
    <row r="2162" spans="1:1">
      <c r="A2162" s="10"/>
    </row>
    <row r="2163" spans="1:1">
      <c r="A2163" s="10"/>
    </row>
    <row r="2164" spans="1:1">
      <c r="A2164" s="10"/>
    </row>
    <row r="2165" spans="1:1">
      <c r="A2165" s="10"/>
    </row>
    <row r="2166" spans="1:1">
      <c r="A2166" s="10"/>
    </row>
    <row r="2167" spans="1:1">
      <c r="A2167" s="10"/>
    </row>
    <row r="2168" spans="1:1">
      <c r="A2168" s="10"/>
    </row>
    <row r="2169" spans="1:1">
      <c r="A2169" s="10"/>
    </row>
    <row r="2170" spans="1:1">
      <c r="A2170" s="10"/>
    </row>
    <row r="2171" spans="1:1">
      <c r="A2171" s="10"/>
    </row>
    <row r="2172" spans="1:1">
      <c r="A2172" s="10"/>
    </row>
    <row r="2173" spans="1:1">
      <c r="A2173" s="10"/>
    </row>
    <row r="2174" spans="1:1">
      <c r="A2174" s="10"/>
    </row>
    <row r="2175" spans="1:1">
      <c r="A2175" s="10"/>
    </row>
    <row r="2176" spans="1:1">
      <c r="A2176" s="10"/>
    </row>
    <row r="2177" spans="1:1">
      <c r="A2177" s="10"/>
    </row>
    <row r="2178" spans="1:1">
      <c r="A2178" s="10"/>
    </row>
    <row r="2179" spans="1:1">
      <c r="A2179" s="10"/>
    </row>
    <row r="2180" spans="1:1">
      <c r="A2180" s="10"/>
    </row>
    <row r="2181" spans="1:1">
      <c r="A2181" s="10"/>
    </row>
    <row r="2182" spans="1:1">
      <c r="A2182" s="10"/>
    </row>
    <row r="2183" spans="1:1">
      <c r="A2183" s="10"/>
    </row>
    <row r="2184" spans="1:1">
      <c r="A2184" s="10"/>
    </row>
    <row r="2185" spans="1:1">
      <c r="A2185" s="10"/>
    </row>
    <row r="2186" spans="1:1">
      <c r="A2186" s="10"/>
    </row>
    <row r="2187" spans="1:1">
      <c r="A2187" s="10"/>
    </row>
    <row r="2188" spans="1:1">
      <c r="A2188" s="10"/>
    </row>
    <row r="2189" spans="1:1">
      <c r="A2189" s="10"/>
    </row>
    <row r="2190" spans="1:1">
      <c r="A2190" s="10"/>
    </row>
    <row r="2191" spans="1:1">
      <c r="A2191" s="10"/>
    </row>
    <row r="2192" spans="1:1">
      <c r="A2192" s="10"/>
    </row>
    <row r="2193" spans="1:1">
      <c r="A2193" s="10"/>
    </row>
    <row r="2194" spans="1:1">
      <c r="A2194" s="10"/>
    </row>
    <row r="2195" spans="1:1">
      <c r="A2195" s="10"/>
    </row>
    <row r="2196" spans="1:1">
      <c r="A2196" s="10"/>
    </row>
    <row r="2197" spans="1:1">
      <c r="A2197" s="10"/>
    </row>
    <row r="2198" spans="1:1">
      <c r="A2198" s="10"/>
    </row>
    <row r="2199" spans="1:1">
      <c r="A2199" s="10"/>
    </row>
    <row r="2200" spans="1:1">
      <c r="A2200" s="10"/>
    </row>
    <row r="2201" spans="1:1">
      <c r="A2201" s="10"/>
    </row>
    <row r="2202" spans="1:1">
      <c r="A2202" s="10"/>
    </row>
    <row r="2203" spans="1:1">
      <c r="A2203" s="10"/>
    </row>
    <row r="2204" spans="1:1">
      <c r="A2204" s="10"/>
    </row>
    <row r="2205" spans="1:1">
      <c r="A2205" s="10"/>
    </row>
    <row r="2206" spans="1:1">
      <c r="A2206" s="10"/>
    </row>
    <row r="2207" spans="1:1">
      <c r="A2207" s="10"/>
    </row>
    <row r="2208" spans="1:1">
      <c r="A2208" s="10"/>
    </row>
    <row r="2209" spans="1:1">
      <c r="A2209" s="10"/>
    </row>
    <row r="2210" spans="1:1">
      <c r="A2210" s="10"/>
    </row>
    <row r="2211" spans="1:1">
      <c r="A2211" s="10"/>
    </row>
    <row r="2212" spans="1:1">
      <c r="A2212" s="10"/>
    </row>
    <row r="2213" spans="1:1">
      <c r="A2213" s="10"/>
    </row>
    <row r="2214" spans="1:1">
      <c r="A2214" s="10"/>
    </row>
    <row r="2215" spans="1:1">
      <c r="A2215" s="10"/>
    </row>
    <row r="2216" spans="1:1">
      <c r="A2216" s="10"/>
    </row>
    <row r="2217" spans="1:1">
      <c r="A2217" s="10"/>
    </row>
    <row r="2218" spans="1:1">
      <c r="A2218" s="10"/>
    </row>
    <row r="2219" spans="1:1">
      <c r="A2219" s="10"/>
    </row>
    <row r="2220" spans="1:1">
      <c r="A2220" s="10"/>
    </row>
    <row r="2221" spans="1:1">
      <c r="A2221" s="10"/>
    </row>
    <row r="2222" spans="1:1">
      <c r="A2222" s="10"/>
    </row>
    <row r="2223" spans="1:1">
      <c r="A2223" s="10"/>
    </row>
    <row r="2224" spans="1:1">
      <c r="A2224" s="10"/>
    </row>
    <row r="2225" spans="1:1">
      <c r="A2225" s="10"/>
    </row>
    <row r="2226" spans="1:1">
      <c r="A2226" s="10"/>
    </row>
    <row r="2227" spans="1:1">
      <c r="A2227" s="10"/>
    </row>
    <row r="2228" spans="1:1">
      <c r="A2228" s="10"/>
    </row>
    <row r="2229" spans="1:1">
      <c r="A2229" s="10"/>
    </row>
    <row r="2230" spans="1:1">
      <c r="A2230" s="10"/>
    </row>
    <row r="2231" spans="1:1">
      <c r="A2231" s="10"/>
    </row>
    <row r="2232" spans="1:1">
      <c r="A2232" s="10"/>
    </row>
    <row r="2233" spans="1:1">
      <c r="A2233" s="10"/>
    </row>
    <row r="2234" spans="1:1">
      <c r="A2234" s="10"/>
    </row>
    <row r="2235" spans="1:1">
      <c r="A2235" s="10"/>
    </row>
    <row r="2236" spans="1:1">
      <c r="A2236" s="10"/>
    </row>
    <row r="2237" spans="1:1">
      <c r="A2237" s="10"/>
    </row>
    <row r="2238" spans="1:1">
      <c r="A2238" s="10"/>
    </row>
    <row r="2239" spans="1:1">
      <c r="A2239" s="10"/>
    </row>
    <row r="2240" spans="1:1">
      <c r="A2240" s="10"/>
    </row>
    <row r="2241" spans="1:1">
      <c r="A2241" s="10"/>
    </row>
    <row r="2242" spans="1:1">
      <c r="A2242" s="10"/>
    </row>
    <row r="2243" spans="1:1">
      <c r="A2243" s="10"/>
    </row>
    <row r="2244" spans="1:1">
      <c r="A2244" s="10"/>
    </row>
    <row r="2245" spans="1:1">
      <c r="A2245" s="10"/>
    </row>
    <row r="2246" spans="1:1">
      <c r="A2246" s="10"/>
    </row>
    <row r="2247" spans="1:1">
      <c r="A2247" s="10"/>
    </row>
    <row r="2248" spans="1:1">
      <c r="A2248" s="10"/>
    </row>
    <row r="2249" spans="1:1">
      <c r="A2249" s="10"/>
    </row>
    <row r="2250" spans="1:1">
      <c r="A2250" s="10"/>
    </row>
    <row r="2251" spans="1:1">
      <c r="A2251" s="10"/>
    </row>
    <row r="2252" spans="1:1">
      <c r="A2252" s="10"/>
    </row>
    <row r="2253" spans="1:1">
      <c r="A2253" s="10"/>
    </row>
    <row r="2254" spans="1:1">
      <c r="A2254" s="10"/>
    </row>
    <row r="2255" spans="1:1">
      <c r="A2255" s="10"/>
    </row>
    <row r="2256" spans="1:1">
      <c r="A2256" s="10"/>
    </row>
    <row r="2257" spans="1:1">
      <c r="A2257" s="10"/>
    </row>
    <row r="2258" spans="1:1">
      <c r="A2258" s="10"/>
    </row>
    <row r="2259" spans="1:1">
      <c r="A2259" s="10"/>
    </row>
    <row r="2260" spans="1:1">
      <c r="A2260" s="10"/>
    </row>
    <row r="2261" spans="1:1">
      <c r="A2261" s="10"/>
    </row>
    <row r="2262" spans="1:1">
      <c r="A2262" s="10"/>
    </row>
    <row r="2263" spans="1:1">
      <c r="A2263" s="10"/>
    </row>
    <row r="2264" spans="1:1">
      <c r="A2264" s="10"/>
    </row>
    <row r="2265" spans="1:1">
      <c r="A2265" s="10"/>
    </row>
    <row r="2266" spans="1:1">
      <c r="A2266" s="10"/>
    </row>
    <row r="2267" spans="1:1">
      <c r="A2267" s="10"/>
    </row>
    <row r="2268" spans="1:1">
      <c r="A2268" s="10"/>
    </row>
    <row r="2269" spans="1:1">
      <c r="A2269" s="10"/>
    </row>
    <row r="2270" spans="1:1">
      <c r="A2270" s="10"/>
    </row>
    <row r="2271" spans="1:1">
      <c r="A2271" s="10"/>
    </row>
    <row r="2272" spans="1:1">
      <c r="A2272" s="10"/>
    </row>
    <row r="2273" spans="1:1">
      <c r="A2273" s="10"/>
    </row>
    <row r="2274" spans="1:1">
      <c r="A2274" s="10"/>
    </row>
    <row r="2275" spans="1:1">
      <c r="A2275" s="10"/>
    </row>
    <row r="2276" spans="1:1">
      <c r="A2276" s="10"/>
    </row>
    <row r="2277" spans="1:1">
      <c r="A2277" s="10"/>
    </row>
    <row r="2278" spans="1:1">
      <c r="A2278" s="10"/>
    </row>
    <row r="2279" spans="1:1">
      <c r="A2279" s="10"/>
    </row>
    <row r="2280" spans="1:1">
      <c r="A2280" s="10"/>
    </row>
    <row r="2281" spans="1:1">
      <c r="A2281" s="10"/>
    </row>
    <row r="2282" spans="1:1">
      <c r="A2282" s="10"/>
    </row>
    <row r="2283" spans="1:1">
      <c r="A2283" s="10"/>
    </row>
    <row r="2284" spans="1:1">
      <c r="A2284" s="10"/>
    </row>
    <row r="2285" spans="1:1">
      <c r="A2285" s="10"/>
    </row>
    <row r="2286" spans="1:1">
      <c r="A2286" s="10"/>
    </row>
    <row r="2287" spans="1:1">
      <c r="A2287" s="10"/>
    </row>
    <row r="2288" spans="1:1">
      <c r="A2288" s="10"/>
    </row>
    <row r="2289" spans="1:1">
      <c r="A2289" s="10"/>
    </row>
    <row r="2290" spans="1:1">
      <c r="A2290" s="10"/>
    </row>
    <row r="2291" spans="1:1">
      <c r="A2291" s="10"/>
    </row>
    <row r="2292" spans="1:1">
      <c r="A2292" s="10"/>
    </row>
    <row r="2293" spans="1:1">
      <c r="A2293" s="10"/>
    </row>
    <row r="2294" spans="1:1">
      <c r="A2294" s="10"/>
    </row>
    <row r="2295" spans="1:1">
      <c r="A2295" s="10"/>
    </row>
    <row r="2296" spans="1:1">
      <c r="A2296" s="10"/>
    </row>
    <row r="2297" spans="1:1">
      <c r="A2297" s="10"/>
    </row>
    <row r="2298" spans="1:1">
      <c r="A2298" s="10"/>
    </row>
    <row r="2299" spans="1:1">
      <c r="A2299" s="10"/>
    </row>
    <row r="2300" spans="1:1">
      <c r="A2300" s="10"/>
    </row>
    <row r="2301" spans="1:1">
      <c r="A2301" s="10"/>
    </row>
    <row r="2302" spans="1:1">
      <c r="A2302" s="10"/>
    </row>
    <row r="2303" spans="1:1">
      <c r="A2303" s="10"/>
    </row>
    <row r="2304" spans="1:1">
      <c r="A2304" s="10"/>
    </row>
    <row r="2305" spans="1:1">
      <c r="A2305" s="10"/>
    </row>
    <row r="2306" spans="1:1">
      <c r="A2306" s="10"/>
    </row>
    <row r="2307" spans="1:1">
      <c r="A2307" s="10"/>
    </row>
    <row r="2308" spans="1:1">
      <c r="A2308" s="10"/>
    </row>
    <row r="2309" spans="1:1">
      <c r="A2309" s="10"/>
    </row>
    <row r="2310" spans="1:1">
      <c r="A2310" s="10"/>
    </row>
    <row r="2311" spans="1:1">
      <c r="A2311" s="10"/>
    </row>
    <row r="2312" spans="1:1">
      <c r="A2312" s="10"/>
    </row>
    <row r="2313" spans="1:1">
      <c r="A2313" s="10"/>
    </row>
    <row r="2314" spans="1:1">
      <c r="A2314" s="10"/>
    </row>
    <row r="2315" spans="1:1">
      <c r="A2315" s="10"/>
    </row>
    <row r="2316" spans="1:1">
      <c r="A2316" s="10"/>
    </row>
    <row r="2317" spans="1:1">
      <c r="A2317" s="10"/>
    </row>
    <row r="2318" spans="1:1">
      <c r="A2318" s="10"/>
    </row>
    <row r="2319" spans="1:1">
      <c r="A2319" s="10"/>
    </row>
    <row r="2320" spans="1:1">
      <c r="A2320" s="10"/>
    </row>
    <row r="2321" spans="1:1">
      <c r="A2321" s="10"/>
    </row>
    <row r="2322" spans="1:1">
      <c r="A2322" s="10"/>
    </row>
    <row r="2323" spans="1:1">
      <c r="A2323" s="10"/>
    </row>
    <row r="2324" spans="1:1">
      <c r="A2324" s="10"/>
    </row>
    <row r="2325" spans="1:1">
      <c r="A2325" s="10"/>
    </row>
    <row r="2326" spans="1:1">
      <c r="A2326" s="10"/>
    </row>
    <row r="2327" spans="1:1">
      <c r="A2327" s="10"/>
    </row>
    <row r="2328" spans="1:1">
      <c r="A2328" s="10"/>
    </row>
    <row r="2329" spans="1:1">
      <c r="A2329" s="10"/>
    </row>
    <row r="2330" spans="1:1">
      <c r="A2330" s="10"/>
    </row>
    <row r="2331" spans="1:1">
      <c r="A2331" s="10"/>
    </row>
    <row r="2332" spans="1:1">
      <c r="A2332" s="10"/>
    </row>
    <row r="2333" spans="1:1">
      <c r="A2333" s="10"/>
    </row>
    <row r="2334" spans="1:1">
      <c r="A2334" s="10"/>
    </row>
    <row r="2335" spans="1:1">
      <c r="A2335" s="10"/>
    </row>
    <row r="2336" spans="1:1">
      <c r="A2336" s="10"/>
    </row>
    <row r="2337" spans="1:1">
      <c r="A2337" s="10"/>
    </row>
    <row r="2338" spans="1:1">
      <c r="A2338" s="10"/>
    </row>
    <row r="2339" spans="1:1">
      <c r="A2339" s="10"/>
    </row>
    <row r="2340" spans="1:1">
      <c r="A2340" s="10"/>
    </row>
    <row r="2341" spans="1:1">
      <c r="A2341" s="10"/>
    </row>
    <row r="2342" spans="1:1">
      <c r="A2342" s="10"/>
    </row>
    <row r="2343" spans="1:1">
      <c r="A2343" s="10"/>
    </row>
    <row r="2344" spans="1:1">
      <c r="A2344" s="10"/>
    </row>
    <row r="2345" spans="1:1">
      <c r="A2345" s="10"/>
    </row>
    <row r="2346" spans="1:1">
      <c r="A2346" s="10"/>
    </row>
    <row r="2347" spans="1:1">
      <c r="A2347" s="10"/>
    </row>
    <row r="2348" spans="1:1">
      <c r="A2348" s="10"/>
    </row>
    <row r="2349" spans="1:1">
      <c r="A2349" s="10"/>
    </row>
    <row r="2350" spans="1:1">
      <c r="A2350" s="10"/>
    </row>
    <row r="2351" spans="1:1">
      <c r="A2351" s="10"/>
    </row>
    <row r="2352" spans="1:1">
      <c r="A2352" s="10"/>
    </row>
    <row r="2353" spans="1:1">
      <c r="A2353" s="10"/>
    </row>
    <row r="2354" spans="1:1">
      <c r="A2354" s="10"/>
    </row>
    <row r="2355" spans="1:1">
      <c r="A2355" s="10"/>
    </row>
    <row r="2356" spans="1:1">
      <c r="A2356" s="10"/>
    </row>
    <row r="2357" spans="1:1">
      <c r="A2357" s="10"/>
    </row>
    <row r="2358" spans="1:1">
      <c r="A2358" s="10"/>
    </row>
    <row r="2359" spans="1:1">
      <c r="A2359" s="10"/>
    </row>
    <row r="2360" spans="1:1">
      <c r="A2360" s="10"/>
    </row>
    <row r="2361" spans="1:1">
      <c r="A2361" s="10"/>
    </row>
    <row r="2362" spans="1:1">
      <c r="A2362" s="10"/>
    </row>
    <row r="2363" spans="1:1">
      <c r="A2363" s="10"/>
    </row>
    <row r="2364" spans="1:1">
      <c r="A2364" s="10"/>
    </row>
    <row r="2365" spans="1:1">
      <c r="A2365" s="10"/>
    </row>
    <row r="2366" spans="1:1">
      <c r="A2366" s="10"/>
    </row>
    <row r="2367" spans="1:1">
      <c r="A2367" s="10"/>
    </row>
    <row r="2368" spans="1:1">
      <c r="A2368" s="10"/>
    </row>
    <row r="2369" spans="1:1">
      <c r="A2369" s="10"/>
    </row>
    <row r="2370" spans="1:1">
      <c r="A2370" s="10"/>
    </row>
    <row r="2371" spans="1:1">
      <c r="A2371" s="10"/>
    </row>
    <row r="2372" spans="1:1">
      <c r="A2372" s="10"/>
    </row>
    <row r="2373" spans="1:1">
      <c r="A2373" s="10"/>
    </row>
    <row r="2374" spans="1:1">
      <c r="A2374" s="10"/>
    </row>
    <row r="2375" spans="1:1">
      <c r="A2375" s="10"/>
    </row>
    <row r="2376" spans="1:1">
      <c r="A2376" s="10"/>
    </row>
    <row r="2377" spans="1:1">
      <c r="A2377" s="10"/>
    </row>
    <row r="2378" spans="1:1">
      <c r="A2378" s="10"/>
    </row>
    <row r="2379" spans="1:1">
      <c r="A2379" s="10"/>
    </row>
    <row r="2380" spans="1:1">
      <c r="A2380" s="10"/>
    </row>
    <row r="2381" spans="1:1">
      <c r="A2381" s="10"/>
    </row>
    <row r="2382" spans="1:1">
      <c r="A2382" s="10"/>
    </row>
    <row r="2383" spans="1:1">
      <c r="A2383" s="10"/>
    </row>
    <row r="2384" spans="1:1">
      <c r="A2384" s="10"/>
    </row>
    <row r="2385" spans="1:1">
      <c r="A2385" s="10"/>
    </row>
    <row r="2386" spans="1:1">
      <c r="A2386" s="10"/>
    </row>
    <row r="2387" spans="1:1">
      <c r="A2387" s="10"/>
    </row>
    <row r="2388" spans="1:1">
      <c r="A2388" s="10"/>
    </row>
    <row r="2389" spans="1:1">
      <c r="A2389" s="10"/>
    </row>
    <row r="2390" spans="1:1">
      <c r="A2390" s="10"/>
    </row>
    <row r="2391" spans="1:1">
      <c r="A2391" s="10"/>
    </row>
    <row r="2392" spans="1:1">
      <c r="A2392" s="10"/>
    </row>
    <row r="2393" spans="1:1">
      <c r="A2393" s="10"/>
    </row>
    <row r="2394" spans="1:1">
      <c r="A2394" s="10"/>
    </row>
    <row r="2395" spans="1:1">
      <c r="A2395" s="10"/>
    </row>
    <row r="2396" spans="1:1">
      <c r="A2396" s="10"/>
    </row>
    <row r="2397" spans="1:1">
      <c r="A2397" s="10"/>
    </row>
    <row r="2398" spans="1:1">
      <c r="A2398" s="10"/>
    </row>
    <row r="2399" spans="1:1">
      <c r="A2399" s="10"/>
    </row>
    <row r="2400" spans="1:1">
      <c r="A2400" s="10"/>
    </row>
    <row r="2401" spans="1:1">
      <c r="A2401" s="10"/>
    </row>
    <row r="2402" spans="1:1">
      <c r="A2402" s="10"/>
    </row>
    <row r="2403" spans="1:1">
      <c r="A2403" s="10"/>
    </row>
    <row r="2404" spans="1:1">
      <c r="A2404" s="10"/>
    </row>
    <row r="2405" spans="1:1">
      <c r="A2405" s="10"/>
    </row>
    <row r="2406" spans="1:1">
      <c r="A2406" s="10"/>
    </row>
    <row r="2407" spans="1:1">
      <c r="A2407" s="10"/>
    </row>
    <row r="2408" spans="1:1">
      <c r="A2408" s="10"/>
    </row>
    <row r="2409" spans="1:1">
      <c r="A2409" s="10"/>
    </row>
    <row r="2410" spans="1:1">
      <c r="A2410" s="10"/>
    </row>
    <row r="2411" spans="1:1">
      <c r="A2411" s="10"/>
    </row>
    <row r="2412" spans="1:1">
      <c r="A2412" s="10"/>
    </row>
    <row r="2413" spans="1:1">
      <c r="A2413" s="10"/>
    </row>
    <row r="2414" spans="1:1">
      <c r="A2414" s="10"/>
    </row>
    <row r="2415" spans="1:1">
      <c r="A2415" s="10"/>
    </row>
    <row r="2416" spans="1:1">
      <c r="A2416" s="10"/>
    </row>
    <row r="2417" spans="1:1">
      <c r="A2417" s="10"/>
    </row>
    <row r="2418" spans="1:1">
      <c r="A2418" s="10"/>
    </row>
    <row r="2419" spans="1:1">
      <c r="A2419" s="10"/>
    </row>
    <row r="2420" spans="1:1">
      <c r="A2420" s="10"/>
    </row>
    <row r="2421" spans="1:1">
      <c r="A2421" s="10"/>
    </row>
    <row r="2422" spans="1:1">
      <c r="A2422" s="10"/>
    </row>
    <row r="2423" spans="1:1">
      <c r="A2423" s="10"/>
    </row>
    <row r="2424" spans="1:1">
      <c r="A2424" s="10"/>
    </row>
    <row r="2425" spans="1:1">
      <c r="A2425" s="10"/>
    </row>
    <row r="2426" spans="1:1">
      <c r="A2426" s="10"/>
    </row>
    <row r="2427" spans="1:1">
      <c r="A2427" s="10"/>
    </row>
    <row r="2428" spans="1:1">
      <c r="A2428" s="10"/>
    </row>
    <row r="2429" spans="1:1">
      <c r="A2429" s="10"/>
    </row>
    <row r="2430" spans="1:1">
      <c r="A2430" s="10"/>
    </row>
    <row r="2431" spans="1:1">
      <c r="A2431" s="10"/>
    </row>
    <row r="2432" spans="1:1">
      <c r="A2432" s="10"/>
    </row>
    <row r="2433" spans="1:1">
      <c r="A2433" s="10"/>
    </row>
    <row r="2434" spans="1:1">
      <c r="A2434" s="10"/>
    </row>
    <row r="2435" spans="1:1">
      <c r="A2435" s="10"/>
    </row>
    <row r="2436" spans="1:1">
      <c r="A2436" s="10"/>
    </row>
    <row r="2437" spans="1:1">
      <c r="A2437" s="10"/>
    </row>
    <row r="2438" spans="1:1">
      <c r="A2438" s="10"/>
    </row>
    <row r="2439" spans="1:1">
      <c r="A2439" s="10"/>
    </row>
    <row r="2440" spans="1:1">
      <c r="A2440" s="10"/>
    </row>
    <row r="2441" spans="1:1">
      <c r="A2441" s="10"/>
    </row>
    <row r="2442" spans="1:1">
      <c r="A2442" s="10"/>
    </row>
    <row r="2443" spans="1:1">
      <c r="A2443" s="10"/>
    </row>
    <row r="2444" spans="1:1">
      <c r="A2444" s="10"/>
    </row>
    <row r="2445" spans="1:1">
      <c r="A2445" s="10"/>
    </row>
    <row r="2446" spans="1:1">
      <c r="A2446" s="10"/>
    </row>
    <row r="2447" spans="1:1">
      <c r="A2447" s="10"/>
    </row>
    <row r="2448" spans="1:1">
      <c r="A2448" s="10"/>
    </row>
    <row r="2449" spans="1:1">
      <c r="A2449" s="10"/>
    </row>
    <row r="2450" spans="1:1">
      <c r="A2450" s="10"/>
    </row>
    <row r="2451" spans="1:1">
      <c r="A2451" s="10"/>
    </row>
    <row r="2452" spans="1:1">
      <c r="A2452" s="10"/>
    </row>
    <row r="2453" spans="1:1">
      <c r="A2453" s="10"/>
    </row>
    <row r="2454" spans="1:1">
      <c r="A2454" s="10"/>
    </row>
    <row r="2455" spans="1:1">
      <c r="A2455" s="10"/>
    </row>
    <row r="2456" spans="1:1">
      <c r="A2456" s="10"/>
    </row>
    <row r="2457" spans="1:1">
      <c r="A2457" s="10"/>
    </row>
    <row r="2458" spans="1:1">
      <c r="A2458" s="10"/>
    </row>
    <row r="2459" spans="1:1">
      <c r="A2459" s="10"/>
    </row>
    <row r="2460" spans="1:1">
      <c r="A2460" s="10"/>
    </row>
    <row r="2461" spans="1:1">
      <c r="A2461" s="10"/>
    </row>
    <row r="2462" spans="1:1">
      <c r="A2462" s="10"/>
    </row>
    <row r="2463" spans="1:1">
      <c r="A2463" s="10"/>
    </row>
    <row r="2464" spans="1:1">
      <c r="A2464" s="10"/>
    </row>
    <row r="2465" spans="1:1">
      <c r="A2465" s="10"/>
    </row>
    <row r="2466" spans="1:1">
      <c r="A2466" s="10"/>
    </row>
    <row r="2467" spans="1:1">
      <c r="A2467" s="10"/>
    </row>
    <row r="2468" spans="1:1">
      <c r="A2468" s="10"/>
    </row>
    <row r="2469" spans="1:1">
      <c r="A2469" s="10"/>
    </row>
    <row r="2470" spans="1:1">
      <c r="A2470" s="10"/>
    </row>
    <row r="2471" spans="1:1">
      <c r="A2471" s="10"/>
    </row>
    <row r="2472" spans="1:1">
      <c r="A2472" s="10"/>
    </row>
    <row r="2473" spans="1:1">
      <c r="A2473" s="10"/>
    </row>
    <row r="2474" spans="1:1">
      <c r="A2474" s="10"/>
    </row>
    <row r="2475" spans="1:1">
      <c r="A2475" s="10"/>
    </row>
    <row r="2476" spans="1:1">
      <c r="A2476" s="10"/>
    </row>
    <row r="2477" spans="1:1">
      <c r="A2477" s="10"/>
    </row>
    <row r="2478" spans="1:1">
      <c r="A2478" s="10"/>
    </row>
    <row r="2479" spans="1:1">
      <c r="A2479" s="10"/>
    </row>
    <row r="2480" spans="1:1">
      <c r="A2480" s="10"/>
    </row>
    <row r="2481" spans="1:1">
      <c r="A2481" s="10"/>
    </row>
    <row r="2482" spans="1:1">
      <c r="A2482" s="10"/>
    </row>
    <row r="2483" spans="1:1">
      <c r="A2483" s="10"/>
    </row>
    <row r="2484" spans="1:1">
      <c r="A2484" s="10"/>
    </row>
    <row r="2485" spans="1:1">
      <c r="A2485" s="10"/>
    </row>
    <row r="2486" spans="1:1">
      <c r="A2486" s="10"/>
    </row>
    <row r="2487" spans="1:1">
      <c r="A2487" s="10"/>
    </row>
    <row r="2488" spans="1:1">
      <c r="A2488" s="10"/>
    </row>
    <row r="2489" spans="1:1">
      <c r="A2489" s="10"/>
    </row>
    <row r="2490" spans="1:1">
      <c r="A2490" s="10"/>
    </row>
    <row r="2491" spans="1:1">
      <c r="A2491" s="10"/>
    </row>
    <row r="2492" spans="1:1">
      <c r="A2492" s="10"/>
    </row>
    <row r="2493" spans="1:1">
      <c r="A2493" s="10"/>
    </row>
    <row r="2494" spans="1:1">
      <c r="A2494" s="10"/>
    </row>
    <row r="2495" spans="1:1">
      <c r="A2495" s="10"/>
    </row>
    <row r="2496" spans="1:1">
      <c r="A2496" s="10"/>
    </row>
    <row r="2497" spans="1:1">
      <c r="A2497" s="10"/>
    </row>
    <row r="2498" spans="1:1">
      <c r="A2498" s="10"/>
    </row>
    <row r="2499" spans="1:1">
      <c r="A2499" s="10"/>
    </row>
    <row r="2500" spans="1:1">
      <c r="A2500" s="10"/>
    </row>
    <row r="2501" spans="1:1">
      <c r="A2501" s="10"/>
    </row>
    <row r="2502" spans="1:1">
      <c r="A2502" s="10"/>
    </row>
    <row r="2503" spans="1:1">
      <c r="A2503" s="10"/>
    </row>
    <row r="2504" spans="1:1">
      <c r="A2504" s="10"/>
    </row>
    <row r="2505" spans="1:1">
      <c r="A2505" s="10"/>
    </row>
    <row r="2506" spans="1:1">
      <c r="A2506" s="10"/>
    </row>
    <row r="2507" spans="1:1">
      <c r="A2507" s="10"/>
    </row>
    <row r="2508" spans="1:1">
      <c r="A2508" s="10"/>
    </row>
    <row r="2509" spans="1:1">
      <c r="A2509" s="10"/>
    </row>
    <row r="2510" spans="1:1">
      <c r="A2510" s="10"/>
    </row>
    <row r="2511" spans="1:1">
      <c r="A2511" s="10"/>
    </row>
    <row r="2512" spans="1:1">
      <c r="A2512" s="10"/>
    </row>
    <row r="2513" spans="1:1">
      <c r="A2513" s="10"/>
    </row>
    <row r="2514" spans="1:1">
      <c r="A2514" s="10"/>
    </row>
    <row r="2515" spans="1:1">
      <c r="A2515" s="10"/>
    </row>
    <row r="2516" spans="1:1">
      <c r="A2516" s="10"/>
    </row>
    <row r="2517" spans="1:1">
      <c r="A2517" s="10"/>
    </row>
    <row r="2518" spans="1:1">
      <c r="A2518" s="10"/>
    </row>
    <row r="2519" spans="1:1">
      <c r="A2519" s="10"/>
    </row>
    <row r="2520" spans="1:1">
      <c r="A2520" s="10"/>
    </row>
    <row r="2521" spans="1:1">
      <c r="A2521" s="10"/>
    </row>
    <row r="2522" spans="1:1">
      <c r="A2522" s="10"/>
    </row>
    <row r="2523" spans="1:1">
      <c r="A2523" s="10"/>
    </row>
    <row r="2524" spans="1:1">
      <c r="A2524" s="10"/>
    </row>
    <row r="2525" spans="1:1">
      <c r="A2525" s="10"/>
    </row>
    <row r="2526" spans="1:1">
      <c r="A2526" s="10"/>
    </row>
    <row r="2527" spans="1:1">
      <c r="A2527" s="10"/>
    </row>
    <row r="2528" spans="1:1">
      <c r="A2528" s="10"/>
    </row>
    <row r="2529" spans="1:1">
      <c r="A2529" s="10"/>
    </row>
    <row r="2530" spans="1:1">
      <c r="A2530" s="10"/>
    </row>
    <row r="2531" spans="1:1">
      <c r="A2531" s="10"/>
    </row>
    <row r="2532" spans="1:1">
      <c r="A2532" s="10"/>
    </row>
    <row r="2533" spans="1:1">
      <c r="A2533" s="10"/>
    </row>
    <row r="2534" spans="1:1">
      <c r="A2534" s="10"/>
    </row>
    <row r="2535" spans="1:1">
      <c r="A2535" s="10"/>
    </row>
    <row r="2536" spans="1:1">
      <c r="A2536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618"/>
  <sheetViews>
    <sheetView showZeros="0" topLeftCell="D1" workbookViewId="0">
      <selection activeCell="H13" sqref="H13"/>
    </sheetView>
  </sheetViews>
  <sheetFormatPr defaultColWidth="8.875" defaultRowHeight="14.25"/>
  <cols>
    <col min="1" max="1" width="9.875" style="1" customWidth="1"/>
    <col min="2" max="2" width="32.25" style="1" customWidth="1"/>
    <col min="3" max="3" width="24.25" style="1" customWidth="1"/>
    <col min="4" max="4" width="22.75" style="9" customWidth="1"/>
    <col min="5" max="5" width="13.125" style="1" customWidth="1"/>
    <col min="6" max="8" width="8.875" style="1"/>
    <col min="9" max="9" width="14.25" style="1" hidden="1" customWidth="1"/>
    <col min="10" max="10" width="0" style="1" hidden="1" customWidth="1"/>
    <col min="11" max="11" width="17.625" style="1" hidden="1" customWidth="1"/>
    <col min="12" max="12" width="32.25" style="1" customWidth="1"/>
    <col min="13" max="13" width="15" style="1" customWidth="1"/>
    <col min="14" max="16384" width="8.875" style="1"/>
  </cols>
  <sheetData>
    <row r="1" spans="1:21" s="13" customFormat="1" ht="43.5" customHeight="1">
      <c r="A1" s="15" t="s">
        <v>169</v>
      </c>
      <c r="B1" s="15" t="s">
        <v>168</v>
      </c>
      <c r="C1" s="16" t="s">
        <v>161</v>
      </c>
      <c r="D1" s="16" t="s">
        <v>160</v>
      </c>
      <c r="E1" s="15" t="s">
        <v>181</v>
      </c>
      <c r="F1" s="15" t="s">
        <v>166</v>
      </c>
      <c r="G1" s="15" t="s">
        <v>167</v>
      </c>
      <c r="H1" s="15" t="s">
        <v>162</v>
      </c>
      <c r="I1" s="15" t="s">
        <v>159</v>
      </c>
      <c r="J1" s="117" t="s">
        <v>163</v>
      </c>
      <c r="K1" s="15" t="s">
        <v>164</v>
      </c>
      <c r="L1" s="15" t="s">
        <v>165</v>
      </c>
      <c r="M1" s="15"/>
      <c r="Q1" s="13" t="s">
        <v>176</v>
      </c>
      <c r="R1" s="13" t="s">
        <v>177</v>
      </c>
      <c r="S1" s="13" t="s">
        <v>178</v>
      </c>
      <c r="T1" s="13" t="s">
        <v>179</v>
      </c>
      <c r="U1" s="13" t="s">
        <v>180</v>
      </c>
    </row>
    <row r="2" spans="1:21">
      <c r="A2" s="14"/>
      <c r="C2" s="9"/>
      <c r="F2" s="9"/>
      <c r="G2" s="9"/>
      <c r="I2" s="9"/>
      <c r="J2" s="9"/>
      <c r="L2" s="9"/>
      <c r="M2" s="9"/>
      <c r="O2" s="9"/>
      <c r="P2" s="9"/>
    </row>
    <row r="3" spans="1:21">
      <c r="A3" s="14"/>
      <c r="C3" s="9"/>
    </row>
    <row r="4" spans="1:21">
      <c r="A4" s="14"/>
      <c r="C4" s="9"/>
    </row>
    <row r="5" spans="1:21">
      <c r="A5" s="14"/>
      <c r="C5" s="9"/>
    </row>
    <row r="6" spans="1:21">
      <c r="A6" s="14"/>
      <c r="C6" s="9"/>
    </row>
    <row r="7" spans="1:21">
      <c r="A7" s="14"/>
      <c r="C7" s="9"/>
    </row>
    <row r="8" spans="1:21">
      <c r="A8" s="14"/>
      <c r="C8" s="9"/>
    </row>
    <row r="9" spans="1:21">
      <c r="A9" s="14"/>
      <c r="C9" s="9"/>
    </row>
    <row r="10" spans="1:21">
      <c r="A10" s="14"/>
      <c r="C10" s="9"/>
    </row>
    <row r="11" spans="1:21">
      <c r="A11" s="14"/>
      <c r="C11" s="9"/>
    </row>
    <row r="12" spans="1:21">
      <c r="A12" s="14"/>
      <c r="C12" s="9"/>
    </row>
    <row r="13" spans="1:21">
      <c r="A13" s="14"/>
      <c r="C13" s="9"/>
    </row>
    <row r="14" spans="1:21">
      <c r="A14" s="14"/>
      <c r="C14" s="9"/>
    </row>
    <row r="15" spans="1:21">
      <c r="A15" s="14"/>
      <c r="C15" s="9"/>
    </row>
    <row r="16" spans="1:21">
      <c r="A16" s="14"/>
      <c r="C16" s="9"/>
    </row>
    <row r="17" spans="1:3">
      <c r="A17" s="14"/>
      <c r="C17" s="9"/>
    </row>
    <row r="18" spans="1:3">
      <c r="A18" s="14"/>
      <c r="C18" s="9"/>
    </row>
    <row r="19" spans="1:3">
      <c r="A19" s="14"/>
      <c r="C19" s="9"/>
    </row>
    <row r="20" spans="1:3">
      <c r="A20" s="14"/>
      <c r="C20" s="9"/>
    </row>
    <row r="21" spans="1:3">
      <c r="A21" s="14"/>
      <c r="C21" s="9"/>
    </row>
    <row r="22" spans="1:3">
      <c r="A22" s="14"/>
      <c r="C22" s="9"/>
    </row>
    <row r="23" spans="1:3">
      <c r="A23" s="14"/>
      <c r="C23" s="9"/>
    </row>
    <row r="24" spans="1:3">
      <c r="A24" s="14"/>
      <c r="C24" s="9"/>
    </row>
    <row r="25" spans="1:3">
      <c r="A25" s="14"/>
      <c r="C25" s="9"/>
    </row>
    <row r="26" spans="1:3">
      <c r="A26" s="14"/>
      <c r="C26" s="9"/>
    </row>
    <row r="27" spans="1:3">
      <c r="A27" s="14"/>
      <c r="C27" s="9"/>
    </row>
    <row r="28" spans="1:3">
      <c r="A28" s="14"/>
      <c r="C28" s="9"/>
    </row>
    <row r="29" spans="1:3">
      <c r="A29" s="14"/>
      <c r="C29" s="9"/>
    </row>
    <row r="30" spans="1:3">
      <c r="A30" s="14"/>
      <c r="C30" s="9"/>
    </row>
    <row r="31" spans="1:3">
      <c r="A31" s="14"/>
      <c r="C31" s="9"/>
    </row>
    <row r="32" spans="1:3">
      <c r="A32" s="14"/>
      <c r="C32" s="9"/>
    </row>
    <row r="33" spans="1:3">
      <c r="A33" s="14"/>
      <c r="C33" s="9"/>
    </row>
    <row r="34" spans="1:3">
      <c r="A34" s="14"/>
      <c r="C34" s="9"/>
    </row>
    <row r="35" spans="1:3">
      <c r="A35" s="14"/>
      <c r="C35" s="9"/>
    </row>
    <row r="36" spans="1:3">
      <c r="A36" s="14"/>
      <c r="C36" s="9"/>
    </row>
    <row r="37" spans="1:3">
      <c r="A37" s="14"/>
      <c r="C37" s="9"/>
    </row>
    <row r="38" spans="1:3">
      <c r="A38" s="14"/>
      <c r="C38" s="9"/>
    </row>
    <row r="39" spans="1:3">
      <c r="A39" s="14"/>
      <c r="C39" s="9"/>
    </row>
    <row r="40" spans="1:3">
      <c r="A40" s="14"/>
      <c r="C40" s="9"/>
    </row>
    <row r="41" spans="1:3">
      <c r="A41" s="14"/>
      <c r="C41" s="9"/>
    </row>
    <row r="42" spans="1:3">
      <c r="A42" s="14"/>
      <c r="C42" s="9"/>
    </row>
    <row r="43" spans="1:3">
      <c r="A43" s="14"/>
      <c r="C43" s="9"/>
    </row>
    <row r="44" spans="1:3">
      <c r="A44" s="14"/>
      <c r="C44" s="9"/>
    </row>
    <row r="45" spans="1:3">
      <c r="A45" s="14"/>
      <c r="C45" s="9"/>
    </row>
    <row r="46" spans="1:3">
      <c r="A46" s="14"/>
      <c r="C46" s="9"/>
    </row>
    <row r="47" spans="1:3">
      <c r="A47" s="14"/>
      <c r="C47" s="9"/>
    </row>
    <row r="48" spans="1:3">
      <c r="A48" s="14"/>
      <c r="C48" s="9"/>
    </row>
    <row r="49" spans="1:3">
      <c r="A49" s="14"/>
      <c r="C49" s="9"/>
    </row>
    <row r="50" spans="1:3">
      <c r="A50" s="14"/>
      <c r="C50" s="9"/>
    </row>
    <row r="51" spans="1:3">
      <c r="A51" s="14"/>
      <c r="C51" s="9"/>
    </row>
    <row r="52" spans="1:3">
      <c r="A52" s="14"/>
      <c r="C52" s="9"/>
    </row>
    <row r="53" spans="1:3">
      <c r="A53" s="14"/>
      <c r="C53" s="9"/>
    </row>
    <row r="54" spans="1:3">
      <c r="A54" s="14"/>
      <c r="C54" s="9"/>
    </row>
    <row r="55" spans="1:3">
      <c r="A55" s="14"/>
      <c r="C55" s="9"/>
    </row>
    <row r="56" spans="1:3">
      <c r="A56" s="14"/>
      <c r="C56" s="9"/>
    </row>
    <row r="57" spans="1:3">
      <c r="A57" s="14"/>
      <c r="C57" s="9"/>
    </row>
    <row r="58" spans="1:3">
      <c r="A58" s="14"/>
      <c r="C58" s="9"/>
    </row>
    <row r="59" spans="1:3">
      <c r="A59" s="14"/>
      <c r="C59" s="9"/>
    </row>
    <row r="60" spans="1:3">
      <c r="A60" s="14"/>
      <c r="C60" s="9"/>
    </row>
    <row r="61" spans="1:3">
      <c r="A61" s="14"/>
      <c r="C61" s="9"/>
    </row>
    <row r="62" spans="1:3">
      <c r="A62" s="14"/>
      <c r="C62" s="9"/>
    </row>
    <row r="63" spans="1:3">
      <c r="A63" s="14"/>
      <c r="C63" s="9"/>
    </row>
    <row r="64" spans="1:3">
      <c r="A64" s="14"/>
      <c r="C64" s="9"/>
    </row>
    <row r="65" spans="1:3">
      <c r="A65" s="14"/>
      <c r="C65" s="9"/>
    </row>
    <row r="66" spans="1:3">
      <c r="A66" s="14"/>
      <c r="C66" s="9"/>
    </row>
    <row r="67" spans="1:3">
      <c r="A67" s="14"/>
      <c r="C67" s="9"/>
    </row>
    <row r="68" spans="1:3">
      <c r="A68" s="14"/>
      <c r="C68" s="9"/>
    </row>
    <row r="69" spans="1:3">
      <c r="A69" s="14"/>
      <c r="C69" s="9"/>
    </row>
    <row r="70" spans="1:3">
      <c r="A70" s="14"/>
      <c r="C70" s="9"/>
    </row>
    <row r="71" spans="1:3">
      <c r="A71" s="14"/>
      <c r="C71" s="9"/>
    </row>
    <row r="72" spans="1:3">
      <c r="A72" s="14"/>
      <c r="C72" s="9"/>
    </row>
    <row r="73" spans="1:3">
      <c r="A73" s="14"/>
      <c r="C73" s="9"/>
    </row>
    <row r="74" spans="1:3">
      <c r="A74" s="14"/>
      <c r="C74" s="9"/>
    </row>
    <row r="75" spans="1:3">
      <c r="A75" s="14"/>
      <c r="C75" s="9"/>
    </row>
    <row r="76" spans="1:3">
      <c r="A76" s="14"/>
      <c r="C76" s="9"/>
    </row>
    <row r="77" spans="1:3">
      <c r="A77" s="14"/>
      <c r="C77" s="9"/>
    </row>
    <row r="78" spans="1:3">
      <c r="A78" s="14"/>
      <c r="C78" s="9"/>
    </row>
    <row r="79" spans="1:3">
      <c r="A79" s="14"/>
      <c r="C79" s="9"/>
    </row>
    <row r="80" spans="1:3">
      <c r="A80" s="14"/>
      <c r="C80" s="9"/>
    </row>
    <row r="81" spans="1:3">
      <c r="A81" s="14"/>
      <c r="C81" s="9"/>
    </row>
    <row r="82" spans="1:3">
      <c r="A82" s="14"/>
      <c r="C82" s="9"/>
    </row>
    <row r="83" spans="1:3">
      <c r="A83" s="14"/>
      <c r="C83" s="9"/>
    </row>
    <row r="84" spans="1:3">
      <c r="A84" s="14"/>
      <c r="C84" s="9"/>
    </row>
    <row r="85" spans="1:3">
      <c r="A85" s="14"/>
      <c r="C85" s="9"/>
    </row>
    <row r="86" spans="1:3">
      <c r="A86" s="14"/>
      <c r="C86" s="9"/>
    </row>
    <row r="87" spans="1:3">
      <c r="A87" s="14"/>
      <c r="C87" s="9"/>
    </row>
    <row r="88" spans="1:3">
      <c r="A88" s="14"/>
      <c r="C88" s="9"/>
    </row>
    <row r="89" spans="1:3">
      <c r="A89" s="14"/>
      <c r="C89" s="9"/>
    </row>
    <row r="90" spans="1:3">
      <c r="A90" s="14"/>
      <c r="C90" s="9"/>
    </row>
    <row r="91" spans="1:3">
      <c r="A91" s="14"/>
      <c r="C91" s="9"/>
    </row>
    <row r="92" spans="1:3">
      <c r="A92" s="14"/>
      <c r="C92" s="9"/>
    </row>
    <row r="93" spans="1:3">
      <c r="A93" s="14"/>
      <c r="C93" s="9"/>
    </row>
    <row r="94" spans="1:3">
      <c r="A94" s="14"/>
      <c r="C94" s="9"/>
    </row>
    <row r="95" spans="1:3">
      <c r="A95" s="14"/>
      <c r="C95" s="9"/>
    </row>
    <row r="96" spans="1:3">
      <c r="A96" s="14"/>
      <c r="C96" s="9"/>
    </row>
    <row r="97" spans="1:3">
      <c r="A97" s="14"/>
      <c r="C97" s="9"/>
    </row>
    <row r="98" spans="1:3">
      <c r="A98" s="14"/>
      <c r="C98" s="9"/>
    </row>
    <row r="99" spans="1:3">
      <c r="A99" s="14"/>
      <c r="C99" s="9"/>
    </row>
    <row r="100" spans="1:3">
      <c r="A100" s="14"/>
      <c r="C100" s="9"/>
    </row>
    <row r="101" spans="1:3">
      <c r="A101" s="14"/>
      <c r="C101" s="9"/>
    </row>
    <row r="102" spans="1:3">
      <c r="A102" s="14"/>
      <c r="C102" s="9"/>
    </row>
    <row r="103" spans="1:3">
      <c r="A103" s="14"/>
      <c r="C103" s="9"/>
    </row>
    <row r="104" spans="1:3">
      <c r="A104" s="14"/>
      <c r="C104" s="9"/>
    </row>
    <row r="105" spans="1:3">
      <c r="A105" s="14"/>
      <c r="C105" s="9"/>
    </row>
    <row r="106" spans="1:3">
      <c r="A106" s="14"/>
      <c r="C106" s="9"/>
    </row>
    <row r="107" spans="1:3">
      <c r="A107" s="14"/>
      <c r="C107" s="9"/>
    </row>
    <row r="108" spans="1:3">
      <c r="A108" s="14"/>
      <c r="C108" s="9"/>
    </row>
    <row r="109" spans="1:3">
      <c r="A109" s="14"/>
      <c r="C109" s="9"/>
    </row>
    <row r="110" spans="1:3">
      <c r="A110" s="14"/>
      <c r="C110" s="9"/>
    </row>
    <row r="111" spans="1:3">
      <c r="A111" s="14"/>
      <c r="C111" s="9"/>
    </row>
    <row r="112" spans="1:3">
      <c r="A112" s="14"/>
      <c r="C112" s="9"/>
    </row>
    <row r="113" spans="1:3">
      <c r="A113" s="14"/>
      <c r="C113" s="9"/>
    </row>
    <row r="114" spans="1:3">
      <c r="A114" s="14"/>
      <c r="C114" s="9"/>
    </row>
    <row r="115" spans="1:3">
      <c r="A115" s="14"/>
      <c r="C115" s="9"/>
    </row>
    <row r="116" spans="1:3">
      <c r="A116" s="14"/>
      <c r="C116" s="9"/>
    </row>
    <row r="117" spans="1:3">
      <c r="A117" s="14"/>
      <c r="C117" s="9"/>
    </row>
    <row r="118" spans="1:3">
      <c r="A118" s="14"/>
      <c r="C118" s="9"/>
    </row>
    <row r="119" spans="1:3">
      <c r="A119" s="14"/>
      <c r="C119" s="9"/>
    </row>
    <row r="120" spans="1:3">
      <c r="A120" s="14"/>
      <c r="C120" s="9"/>
    </row>
    <row r="121" spans="1:3">
      <c r="A121" s="14"/>
      <c r="C121" s="9"/>
    </row>
    <row r="122" spans="1:3">
      <c r="A122" s="14"/>
      <c r="C122" s="9"/>
    </row>
    <row r="123" spans="1:3">
      <c r="A123" s="14"/>
      <c r="C123" s="9"/>
    </row>
    <row r="124" spans="1:3">
      <c r="A124" s="14"/>
      <c r="C124" s="9"/>
    </row>
    <row r="125" spans="1:3">
      <c r="A125" s="14"/>
      <c r="C125" s="9"/>
    </row>
    <row r="126" spans="1:3">
      <c r="A126" s="14"/>
      <c r="C126" s="9"/>
    </row>
    <row r="127" spans="1:3">
      <c r="A127" s="14"/>
      <c r="C127" s="9"/>
    </row>
    <row r="128" spans="1:3">
      <c r="A128" s="14"/>
      <c r="C128" s="9"/>
    </row>
    <row r="129" spans="1:3">
      <c r="A129" s="14"/>
      <c r="C129" s="9"/>
    </row>
    <row r="130" spans="1:3">
      <c r="A130" s="14"/>
      <c r="C130" s="9"/>
    </row>
    <row r="131" spans="1:3">
      <c r="A131" s="14"/>
      <c r="C131" s="9"/>
    </row>
    <row r="132" spans="1:3">
      <c r="A132" s="14"/>
      <c r="C132" s="9"/>
    </row>
    <row r="133" spans="1:3">
      <c r="A133" s="14"/>
      <c r="C133" s="9"/>
    </row>
    <row r="134" spans="1:3">
      <c r="A134" s="14"/>
      <c r="C134" s="9"/>
    </row>
    <row r="135" spans="1:3">
      <c r="A135" s="14"/>
      <c r="C135" s="9"/>
    </row>
    <row r="136" spans="1:3">
      <c r="A136" s="14"/>
      <c r="C136" s="9"/>
    </row>
    <row r="137" spans="1:3">
      <c r="A137" s="14"/>
      <c r="C137" s="9"/>
    </row>
    <row r="138" spans="1:3">
      <c r="A138" s="14"/>
      <c r="C138" s="9"/>
    </row>
    <row r="139" spans="1:3">
      <c r="A139" s="14"/>
      <c r="C139" s="9"/>
    </row>
    <row r="140" spans="1:3">
      <c r="A140" s="14"/>
      <c r="C140" s="9"/>
    </row>
    <row r="141" spans="1:3">
      <c r="A141" s="14"/>
      <c r="C141" s="9"/>
    </row>
    <row r="142" spans="1:3">
      <c r="A142" s="14"/>
      <c r="C142" s="9"/>
    </row>
    <row r="143" spans="1:3">
      <c r="A143" s="14"/>
      <c r="C143" s="9"/>
    </row>
    <row r="144" spans="1:3">
      <c r="A144" s="14"/>
      <c r="C144" s="9"/>
    </row>
    <row r="145" spans="1:3">
      <c r="A145" s="14"/>
      <c r="C145" s="9"/>
    </row>
    <row r="146" spans="1:3">
      <c r="A146" s="14"/>
      <c r="C146" s="9"/>
    </row>
    <row r="147" spans="1:3">
      <c r="A147" s="14"/>
      <c r="C147" s="9"/>
    </row>
    <row r="148" spans="1:3">
      <c r="A148" s="14"/>
      <c r="C148" s="9"/>
    </row>
    <row r="149" spans="1:3">
      <c r="A149" s="14"/>
      <c r="C149" s="9"/>
    </row>
    <row r="150" spans="1:3">
      <c r="A150" s="14"/>
      <c r="C150" s="9"/>
    </row>
    <row r="151" spans="1:3">
      <c r="A151" s="14"/>
      <c r="C151" s="9"/>
    </row>
    <row r="152" spans="1:3">
      <c r="A152" s="14"/>
      <c r="C152" s="9"/>
    </row>
    <row r="153" spans="1:3">
      <c r="A153" s="14"/>
      <c r="C153" s="9"/>
    </row>
    <row r="154" spans="1:3">
      <c r="A154" s="14"/>
      <c r="C154" s="9"/>
    </row>
    <row r="155" spans="1:3">
      <c r="A155" s="14"/>
      <c r="C155" s="9"/>
    </row>
    <row r="156" spans="1:3">
      <c r="A156" s="14"/>
      <c r="C156" s="9"/>
    </row>
    <row r="157" spans="1:3">
      <c r="A157" s="14"/>
      <c r="C157" s="9"/>
    </row>
    <row r="158" spans="1:3">
      <c r="A158" s="14"/>
      <c r="C158" s="9"/>
    </row>
    <row r="159" spans="1:3">
      <c r="A159" s="14"/>
      <c r="C159" s="9"/>
    </row>
    <row r="160" spans="1:3">
      <c r="A160" s="14"/>
      <c r="C160" s="9"/>
    </row>
    <row r="161" spans="1:3">
      <c r="A161" s="14"/>
      <c r="C161" s="9"/>
    </row>
    <row r="162" spans="1:3">
      <c r="A162" s="14"/>
      <c r="C162" s="9"/>
    </row>
    <row r="163" spans="1:3">
      <c r="A163" s="14"/>
      <c r="C163" s="9"/>
    </row>
    <row r="164" spans="1:3">
      <c r="A164" s="14"/>
      <c r="C164" s="9"/>
    </row>
    <row r="165" spans="1:3">
      <c r="A165" s="14"/>
      <c r="C165" s="9"/>
    </row>
    <row r="166" spans="1:3">
      <c r="A166" s="14"/>
      <c r="C166" s="9"/>
    </row>
    <row r="167" spans="1:3">
      <c r="A167" s="14"/>
      <c r="C167" s="9"/>
    </row>
    <row r="168" spans="1:3">
      <c r="A168" s="14"/>
      <c r="C168" s="9"/>
    </row>
    <row r="169" spans="1:3">
      <c r="A169" s="14"/>
      <c r="C169" s="9"/>
    </row>
    <row r="170" spans="1:3">
      <c r="A170" s="14"/>
      <c r="C170" s="9"/>
    </row>
    <row r="171" spans="1:3">
      <c r="A171" s="14"/>
      <c r="C171" s="9"/>
    </row>
    <row r="172" spans="1:3">
      <c r="A172" s="14"/>
      <c r="C172" s="9"/>
    </row>
    <row r="173" spans="1:3">
      <c r="A173" s="14"/>
      <c r="C173" s="9"/>
    </row>
    <row r="174" spans="1:3">
      <c r="A174" s="14"/>
      <c r="C174" s="9"/>
    </row>
    <row r="175" spans="1:3">
      <c r="A175" s="14"/>
      <c r="C175" s="9"/>
    </row>
    <row r="176" spans="1:3">
      <c r="A176" s="14"/>
      <c r="C176" s="9"/>
    </row>
    <row r="177" spans="1:3">
      <c r="A177" s="14"/>
      <c r="C177" s="9"/>
    </row>
    <row r="178" spans="1:3">
      <c r="A178" s="14"/>
      <c r="C178" s="9"/>
    </row>
    <row r="179" spans="1:3">
      <c r="A179" s="14"/>
      <c r="C179" s="9"/>
    </row>
    <row r="180" spans="1:3">
      <c r="A180" s="14"/>
      <c r="C180" s="9"/>
    </row>
    <row r="181" spans="1:3">
      <c r="A181" s="14"/>
      <c r="C181" s="9"/>
    </row>
    <row r="182" spans="1:3">
      <c r="A182" s="14"/>
      <c r="C182" s="9"/>
    </row>
    <row r="183" spans="1:3">
      <c r="A183" s="14"/>
      <c r="C183" s="9"/>
    </row>
    <row r="184" spans="1:3">
      <c r="A184" s="14"/>
      <c r="C184" s="9"/>
    </row>
    <row r="185" spans="1:3">
      <c r="A185" s="14"/>
      <c r="C185" s="9"/>
    </row>
    <row r="186" spans="1:3">
      <c r="A186" s="14"/>
      <c r="C186" s="9"/>
    </row>
    <row r="187" spans="1:3">
      <c r="A187" s="14"/>
      <c r="C187" s="9"/>
    </row>
    <row r="188" spans="1:3">
      <c r="A188" s="14"/>
      <c r="C188" s="9"/>
    </row>
    <row r="189" spans="1:3">
      <c r="A189" s="14"/>
      <c r="C189" s="9"/>
    </row>
    <row r="190" spans="1:3">
      <c r="A190" s="14"/>
      <c r="C190" s="9"/>
    </row>
    <row r="191" spans="1:3">
      <c r="A191" s="14"/>
      <c r="C191" s="9"/>
    </row>
    <row r="192" spans="1:3">
      <c r="A192" s="14"/>
      <c r="C192" s="9"/>
    </row>
    <row r="193" spans="1:3">
      <c r="A193" s="14"/>
      <c r="C193" s="9"/>
    </row>
    <row r="194" spans="1:3">
      <c r="A194" s="14"/>
      <c r="C194" s="9"/>
    </row>
    <row r="195" spans="1:3">
      <c r="A195" s="14"/>
      <c r="C195" s="9"/>
    </row>
    <row r="196" spans="1:3">
      <c r="A196" s="14"/>
      <c r="C196" s="9"/>
    </row>
    <row r="197" spans="1:3">
      <c r="A197" s="14"/>
      <c r="C197" s="9"/>
    </row>
    <row r="198" spans="1:3">
      <c r="A198" s="14"/>
      <c r="C198" s="9"/>
    </row>
    <row r="199" spans="1:3">
      <c r="A199" s="14"/>
      <c r="C199" s="9"/>
    </row>
    <row r="200" spans="1:3">
      <c r="A200" s="14"/>
      <c r="C200" s="9"/>
    </row>
    <row r="201" spans="1:3">
      <c r="A201" s="14"/>
      <c r="C201" s="9"/>
    </row>
    <row r="202" spans="1:3">
      <c r="A202" s="14"/>
      <c r="C202" s="9"/>
    </row>
    <row r="203" spans="1:3">
      <c r="A203" s="14"/>
      <c r="C203" s="9"/>
    </row>
    <row r="204" spans="1:3">
      <c r="A204" s="14"/>
      <c r="C204" s="9"/>
    </row>
    <row r="205" spans="1:3">
      <c r="A205" s="14"/>
      <c r="C205" s="9"/>
    </row>
    <row r="206" spans="1:3">
      <c r="A206" s="14"/>
      <c r="C206" s="9"/>
    </row>
    <row r="207" spans="1:3">
      <c r="A207" s="14"/>
      <c r="C207" s="9"/>
    </row>
    <row r="208" spans="1:3">
      <c r="A208" s="14"/>
      <c r="C208" s="9"/>
    </row>
    <row r="209" spans="1:3">
      <c r="A209" s="14"/>
      <c r="C209" s="9"/>
    </row>
    <row r="210" spans="1:3">
      <c r="A210" s="14"/>
      <c r="C210" s="9"/>
    </row>
    <row r="211" spans="1:3">
      <c r="A211" s="14"/>
      <c r="C211" s="9"/>
    </row>
    <row r="212" spans="1:3">
      <c r="A212" s="14"/>
      <c r="C212" s="9"/>
    </row>
    <row r="213" spans="1:3">
      <c r="A213" s="14"/>
      <c r="C213" s="9"/>
    </row>
    <row r="214" spans="1:3">
      <c r="A214" s="14"/>
      <c r="C214" s="9"/>
    </row>
    <row r="215" spans="1:3">
      <c r="A215" s="14"/>
      <c r="C215" s="9"/>
    </row>
    <row r="216" spans="1:3">
      <c r="A216" s="14"/>
      <c r="C216" s="9"/>
    </row>
    <row r="217" spans="1:3">
      <c r="A217" s="14"/>
      <c r="C217" s="9"/>
    </row>
    <row r="218" spans="1:3">
      <c r="A218" s="14"/>
      <c r="C218" s="9"/>
    </row>
    <row r="219" spans="1:3">
      <c r="A219" s="14"/>
      <c r="C219" s="9"/>
    </row>
    <row r="220" spans="1:3">
      <c r="A220" s="14"/>
      <c r="C220" s="9"/>
    </row>
    <row r="221" spans="1:3">
      <c r="A221" s="14"/>
      <c r="C221" s="9"/>
    </row>
    <row r="222" spans="1:3">
      <c r="A222" s="14"/>
      <c r="C222" s="9"/>
    </row>
    <row r="223" spans="1:3">
      <c r="A223" s="14"/>
      <c r="C223" s="9"/>
    </row>
    <row r="224" spans="1:3">
      <c r="A224" s="14"/>
      <c r="C224" s="9"/>
    </row>
    <row r="225" spans="1:3">
      <c r="A225" s="14"/>
      <c r="C225" s="9"/>
    </row>
    <row r="226" spans="1:3">
      <c r="A226" s="118"/>
      <c r="C226" s="9"/>
    </row>
    <row r="227" spans="1:3">
      <c r="A227" s="118"/>
      <c r="C227" s="9"/>
    </row>
    <row r="228" spans="1:3">
      <c r="A228" s="118"/>
      <c r="C228" s="9"/>
    </row>
    <row r="229" spans="1:3">
      <c r="A229" s="118"/>
      <c r="C229" s="9"/>
    </row>
    <row r="230" spans="1:3">
      <c r="A230" s="118"/>
      <c r="C230" s="9"/>
    </row>
    <row r="231" spans="1:3">
      <c r="A231" s="118"/>
      <c r="C231" s="9"/>
    </row>
    <row r="232" spans="1:3">
      <c r="A232" s="118"/>
      <c r="C232" s="9"/>
    </row>
    <row r="233" spans="1:3">
      <c r="A233" s="118"/>
      <c r="C233" s="9"/>
    </row>
    <row r="234" spans="1:3">
      <c r="A234" s="118"/>
      <c r="C234" s="9"/>
    </row>
    <row r="235" spans="1:3">
      <c r="A235" s="118"/>
      <c r="C235" s="9"/>
    </row>
    <row r="236" spans="1:3">
      <c r="A236" s="118"/>
      <c r="C236" s="9"/>
    </row>
    <row r="237" spans="1:3">
      <c r="A237" s="118"/>
      <c r="C237" s="9"/>
    </row>
    <row r="238" spans="1:3">
      <c r="A238" s="118"/>
      <c r="C238" s="9"/>
    </row>
    <row r="239" spans="1:3">
      <c r="A239" s="118"/>
      <c r="C239" s="9"/>
    </row>
    <row r="240" spans="1:3">
      <c r="A240" s="118"/>
      <c r="C240" s="9"/>
    </row>
    <row r="241" spans="1:3">
      <c r="A241" s="118"/>
      <c r="C241" s="9"/>
    </row>
    <row r="242" spans="1:3">
      <c r="A242" s="118"/>
      <c r="C242" s="9"/>
    </row>
    <row r="243" spans="1:3">
      <c r="A243" s="118"/>
      <c r="C243" s="9"/>
    </row>
    <row r="244" spans="1:3">
      <c r="A244" s="118"/>
      <c r="C244" s="9"/>
    </row>
    <row r="245" spans="1:3">
      <c r="A245" s="118"/>
      <c r="C245" s="9"/>
    </row>
    <row r="246" spans="1:3">
      <c r="A246" s="118"/>
      <c r="C246" s="9"/>
    </row>
    <row r="247" spans="1:3">
      <c r="A247" s="118"/>
      <c r="C247" s="9"/>
    </row>
    <row r="248" spans="1:3">
      <c r="A248" s="118"/>
      <c r="C248" s="9"/>
    </row>
    <row r="249" spans="1:3">
      <c r="A249" s="118"/>
      <c r="C249" s="9"/>
    </row>
    <row r="250" spans="1:3">
      <c r="A250" s="118"/>
      <c r="C250" s="9"/>
    </row>
    <row r="251" spans="1:3">
      <c r="A251" s="118"/>
      <c r="C251" s="9"/>
    </row>
    <row r="252" spans="1:3">
      <c r="A252" s="118"/>
      <c r="C252" s="9"/>
    </row>
    <row r="253" spans="1:3">
      <c r="A253" s="118"/>
      <c r="C253" s="9"/>
    </row>
    <row r="254" spans="1:3">
      <c r="A254" s="118"/>
      <c r="C254" s="9"/>
    </row>
    <row r="255" spans="1:3">
      <c r="A255" s="118"/>
      <c r="C255" s="9"/>
    </row>
    <row r="256" spans="1:3">
      <c r="A256" s="118"/>
      <c r="C256" s="9"/>
    </row>
    <row r="257" spans="1:3">
      <c r="A257" s="118"/>
      <c r="C257" s="9"/>
    </row>
    <row r="258" spans="1:3">
      <c r="A258" s="118"/>
      <c r="C258" s="9"/>
    </row>
    <row r="259" spans="1:3">
      <c r="A259" s="118"/>
      <c r="C259" s="9"/>
    </row>
    <row r="260" spans="1:3">
      <c r="A260" s="118"/>
      <c r="C260" s="9"/>
    </row>
    <row r="261" spans="1:3">
      <c r="A261" s="118"/>
      <c r="C261" s="9"/>
    </row>
    <row r="262" spans="1:3">
      <c r="A262" s="118"/>
      <c r="C262" s="9"/>
    </row>
    <row r="263" spans="1:3">
      <c r="A263" s="118"/>
      <c r="C263" s="9"/>
    </row>
    <row r="264" spans="1:3">
      <c r="A264" s="118"/>
      <c r="C264" s="9"/>
    </row>
    <row r="265" spans="1:3">
      <c r="A265" s="118"/>
      <c r="C265" s="9"/>
    </row>
    <row r="266" spans="1:3">
      <c r="A266" s="118"/>
      <c r="C266" s="9"/>
    </row>
    <row r="267" spans="1:3">
      <c r="A267" s="118"/>
      <c r="C267" s="9"/>
    </row>
    <row r="268" spans="1:3">
      <c r="A268" s="118"/>
      <c r="C268" s="9"/>
    </row>
    <row r="269" spans="1:3">
      <c r="C269" s="9"/>
    </row>
    <row r="270" spans="1:3">
      <c r="C270" s="9"/>
    </row>
    <row r="271" spans="1:3">
      <c r="C271" s="9"/>
    </row>
    <row r="272" spans="1:3">
      <c r="C272" s="9"/>
    </row>
    <row r="273" spans="3:3">
      <c r="C273" s="9"/>
    </row>
    <row r="274" spans="3:3">
      <c r="C274" s="9"/>
    </row>
    <row r="275" spans="3:3">
      <c r="C275" s="9"/>
    </row>
    <row r="276" spans="3:3">
      <c r="C276" s="9"/>
    </row>
    <row r="277" spans="3:3">
      <c r="C277" s="9"/>
    </row>
    <row r="278" spans="3:3">
      <c r="C278" s="9"/>
    </row>
    <row r="279" spans="3:3">
      <c r="C279" s="9"/>
    </row>
    <row r="280" spans="3:3">
      <c r="C280" s="9"/>
    </row>
    <row r="281" spans="3:3">
      <c r="C281" s="9"/>
    </row>
    <row r="282" spans="3:3">
      <c r="C282" s="9"/>
    </row>
    <row r="283" spans="3:3">
      <c r="C283" s="9"/>
    </row>
    <row r="284" spans="3:3">
      <c r="C284" s="9"/>
    </row>
    <row r="285" spans="3:3">
      <c r="C285" s="9"/>
    </row>
    <row r="286" spans="3:3">
      <c r="C286" s="9"/>
    </row>
    <row r="287" spans="3:3">
      <c r="C287" s="9"/>
    </row>
    <row r="288" spans="3:3">
      <c r="C288" s="9"/>
    </row>
    <row r="289" spans="3:3">
      <c r="C289" s="9"/>
    </row>
    <row r="290" spans="3:3">
      <c r="C290" s="9"/>
    </row>
    <row r="291" spans="3:3">
      <c r="C291" s="9"/>
    </row>
    <row r="292" spans="3:3">
      <c r="C292" s="9"/>
    </row>
    <row r="293" spans="3:3">
      <c r="C293" s="9"/>
    </row>
    <row r="294" spans="3:3">
      <c r="C294" s="9"/>
    </row>
    <row r="295" spans="3:3">
      <c r="C295" s="9"/>
    </row>
    <row r="296" spans="3:3">
      <c r="C296" s="9"/>
    </row>
    <row r="297" spans="3:3">
      <c r="C297" s="9"/>
    </row>
    <row r="298" spans="3:3">
      <c r="C298" s="9"/>
    </row>
    <row r="299" spans="3:3">
      <c r="C299" s="9"/>
    </row>
    <row r="300" spans="3:3">
      <c r="C300" s="9"/>
    </row>
    <row r="301" spans="3:3">
      <c r="C301" s="9"/>
    </row>
    <row r="302" spans="3:3">
      <c r="C302" s="9"/>
    </row>
    <row r="303" spans="3:3">
      <c r="C303" s="9"/>
    </row>
    <row r="304" spans="3:3">
      <c r="C304" s="9"/>
    </row>
    <row r="305" spans="3:3">
      <c r="C305" s="9"/>
    </row>
    <row r="306" spans="3:3">
      <c r="C306" s="9"/>
    </row>
    <row r="307" spans="3:3">
      <c r="C307" s="9"/>
    </row>
    <row r="308" spans="3:3">
      <c r="C308" s="9"/>
    </row>
    <row r="309" spans="3:3">
      <c r="C309" s="9"/>
    </row>
    <row r="310" spans="3:3">
      <c r="C310" s="9"/>
    </row>
    <row r="311" spans="3:3">
      <c r="C311" s="9"/>
    </row>
    <row r="312" spans="3:3">
      <c r="C312" s="9"/>
    </row>
    <row r="313" spans="3:3">
      <c r="C313" s="9"/>
    </row>
    <row r="314" spans="3:3">
      <c r="C314" s="9"/>
    </row>
    <row r="315" spans="3:3">
      <c r="C315" s="9"/>
    </row>
    <row r="316" spans="3:3">
      <c r="C316" s="9"/>
    </row>
    <row r="317" spans="3:3">
      <c r="C317" s="9"/>
    </row>
    <row r="318" spans="3:3">
      <c r="C318" s="9"/>
    </row>
    <row r="319" spans="3:3">
      <c r="C319" s="9"/>
    </row>
    <row r="320" spans="3:3">
      <c r="C320" s="9"/>
    </row>
    <row r="321" spans="3:3">
      <c r="C321" s="9"/>
    </row>
    <row r="322" spans="3:3">
      <c r="C322" s="9"/>
    </row>
    <row r="323" spans="3:3">
      <c r="C323" s="9"/>
    </row>
    <row r="324" spans="3:3">
      <c r="C324" s="9"/>
    </row>
    <row r="325" spans="3:3">
      <c r="C325" s="9"/>
    </row>
    <row r="326" spans="3:3">
      <c r="C326" s="9"/>
    </row>
    <row r="327" spans="3:3">
      <c r="C327" s="9"/>
    </row>
    <row r="328" spans="3:3">
      <c r="C328" s="9"/>
    </row>
    <row r="329" spans="3:3">
      <c r="C329" s="9"/>
    </row>
    <row r="330" spans="3:3">
      <c r="C330" s="9"/>
    </row>
    <row r="331" spans="3:3">
      <c r="C331" s="9"/>
    </row>
    <row r="332" spans="3:3">
      <c r="C332" s="9"/>
    </row>
    <row r="333" spans="3:3">
      <c r="C333" s="9"/>
    </row>
    <row r="334" spans="3:3">
      <c r="C334" s="9"/>
    </row>
    <row r="335" spans="3:3">
      <c r="C335" s="9"/>
    </row>
    <row r="336" spans="3:3">
      <c r="C336" s="9"/>
    </row>
    <row r="337" spans="3:3">
      <c r="C337" s="9"/>
    </row>
    <row r="338" spans="3:3">
      <c r="C338" s="9"/>
    </row>
    <row r="339" spans="3:3">
      <c r="C339" s="9"/>
    </row>
    <row r="340" spans="3:3">
      <c r="C340" s="9"/>
    </row>
    <row r="341" spans="3:3">
      <c r="C341" s="9"/>
    </row>
    <row r="342" spans="3:3">
      <c r="C342" s="9"/>
    </row>
    <row r="343" spans="3:3">
      <c r="C343" s="9"/>
    </row>
    <row r="344" spans="3:3">
      <c r="C344" s="9"/>
    </row>
    <row r="345" spans="3:3">
      <c r="C345" s="9"/>
    </row>
    <row r="346" spans="3:3">
      <c r="C346" s="9"/>
    </row>
    <row r="347" spans="3:3">
      <c r="C347" s="9"/>
    </row>
    <row r="348" spans="3:3">
      <c r="C348" s="9"/>
    </row>
    <row r="349" spans="3:3">
      <c r="C349" s="9"/>
    </row>
    <row r="350" spans="3:3">
      <c r="C350" s="9"/>
    </row>
    <row r="351" spans="3:3">
      <c r="C351" s="9"/>
    </row>
    <row r="352" spans="3:3">
      <c r="C352" s="9"/>
    </row>
    <row r="353" spans="3:3">
      <c r="C353" s="9"/>
    </row>
    <row r="354" spans="3:3">
      <c r="C354" s="9"/>
    </row>
    <row r="355" spans="3:3">
      <c r="C355" s="9"/>
    </row>
    <row r="356" spans="3:3">
      <c r="C356" s="9"/>
    </row>
    <row r="357" spans="3:3">
      <c r="C357" s="9"/>
    </row>
    <row r="358" spans="3:3">
      <c r="C358" s="9"/>
    </row>
    <row r="359" spans="3:3">
      <c r="C359" s="9"/>
    </row>
    <row r="360" spans="3:3">
      <c r="C360" s="9"/>
    </row>
    <row r="361" spans="3:3">
      <c r="C361" s="9"/>
    </row>
    <row r="362" spans="3:3">
      <c r="C362" s="9"/>
    </row>
    <row r="363" spans="3:3">
      <c r="C363" s="9"/>
    </row>
    <row r="364" spans="3:3">
      <c r="C364" s="9"/>
    </row>
    <row r="365" spans="3:3">
      <c r="C365" s="9"/>
    </row>
    <row r="366" spans="3:3">
      <c r="C366" s="9"/>
    </row>
    <row r="367" spans="3:3">
      <c r="C367" s="9"/>
    </row>
    <row r="368" spans="3:3">
      <c r="C368" s="9"/>
    </row>
    <row r="369" spans="3:3">
      <c r="C369" s="9"/>
    </row>
    <row r="370" spans="3:3">
      <c r="C370" s="9"/>
    </row>
    <row r="371" spans="3:3">
      <c r="C371" s="9"/>
    </row>
    <row r="372" spans="3:3">
      <c r="C372" s="9"/>
    </row>
    <row r="373" spans="3:3">
      <c r="C373" s="9"/>
    </row>
    <row r="374" spans="3:3">
      <c r="C374" s="9"/>
    </row>
    <row r="375" spans="3:3">
      <c r="C375" s="9"/>
    </row>
    <row r="376" spans="3:3">
      <c r="C376" s="9"/>
    </row>
    <row r="377" spans="3:3">
      <c r="C377" s="9"/>
    </row>
    <row r="378" spans="3:3">
      <c r="C378" s="9"/>
    </row>
    <row r="379" spans="3:3">
      <c r="C379" s="9"/>
    </row>
    <row r="380" spans="3:3">
      <c r="C380" s="9"/>
    </row>
    <row r="381" spans="3:3">
      <c r="C381" s="9"/>
    </row>
    <row r="382" spans="3:3">
      <c r="C382" s="9"/>
    </row>
    <row r="383" spans="3:3">
      <c r="C383" s="9"/>
    </row>
    <row r="384" spans="3:3">
      <c r="C384" s="9"/>
    </row>
    <row r="385" spans="3:3">
      <c r="C385" s="9"/>
    </row>
    <row r="386" spans="3:3">
      <c r="C386" s="9"/>
    </row>
    <row r="387" spans="3:3">
      <c r="C387" s="9"/>
    </row>
    <row r="388" spans="3:3">
      <c r="C388" s="9"/>
    </row>
    <row r="389" spans="3:3">
      <c r="C389" s="9"/>
    </row>
    <row r="390" spans="3:3">
      <c r="C390" s="9"/>
    </row>
    <row r="391" spans="3:3">
      <c r="C391" s="9"/>
    </row>
    <row r="392" spans="3:3">
      <c r="C392" s="9"/>
    </row>
    <row r="393" spans="3:3">
      <c r="C393" s="9"/>
    </row>
    <row r="394" spans="3:3">
      <c r="C394" s="9"/>
    </row>
    <row r="395" spans="3:3">
      <c r="C395" s="9"/>
    </row>
    <row r="396" spans="3:3">
      <c r="C396" s="9"/>
    </row>
    <row r="570" spans="1:2">
      <c r="A570" s="1">
        <f>Datasheet!B578</f>
        <v>0</v>
      </c>
      <c r="B570" s="1">
        <f>Datasheet!C578</f>
        <v>0</v>
      </c>
    </row>
    <row r="571" spans="1:2">
      <c r="A571" s="1">
        <f>Datasheet!B579</f>
        <v>0</v>
      </c>
      <c r="B571" s="1">
        <f>Datasheet!C579</f>
        <v>0</v>
      </c>
    </row>
    <row r="572" spans="1:2">
      <c r="A572" s="1">
        <f>Datasheet!B580</f>
        <v>0</v>
      </c>
      <c r="B572" s="1">
        <f>Datasheet!C580</f>
        <v>0</v>
      </c>
    </row>
    <row r="573" spans="1:2">
      <c r="A573" s="1">
        <f>Datasheet!B581</f>
        <v>0</v>
      </c>
      <c r="B573" s="1">
        <f>Datasheet!C581</f>
        <v>0</v>
      </c>
    </row>
    <row r="574" spans="1:2">
      <c r="A574" s="1">
        <f>Datasheet!B582</f>
        <v>0</v>
      </c>
      <c r="B574" s="1">
        <f>Datasheet!C582</f>
        <v>0</v>
      </c>
    </row>
    <row r="575" spans="1:2">
      <c r="A575" s="1">
        <f>Datasheet!B583</f>
        <v>0</v>
      </c>
      <c r="B575" s="1">
        <f>Datasheet!C583</f>
        <v>0</v>
      </c>
    </row>
    <row r="576" spans="1:2">
      <c r="A576" s="1">
        <f>Datasheet!B584</f>
        <v>0</v>
      </c>
      <c r="B576" s="1">
        <f>Datasheet!C584</f>
        <v>0</v>
      </c>
    </row>
    <row r="577" spans="1:2">
      <c r="A577" s="1">
        <f>Datasheet!B585</f>
        <v>0</v>
      </c>
      <c r="B577" s="1">
        <f>Datasheet!C585</f>
        <v>0</v>
      </c>
    </row>
    <row r="578" spans="1:2">
      <c r="A578" s="1">
        <f>Datasheet!B586</f>
        <v>0</v>
      </c>
      <c r="B578" s="1">
        <f>Datasheet!C586</f>
        <v>0</v>
      </c>
    </row>
    <row r="579" spans="1:2">
      <c r="A579" s="1">
        <f>Datasheet!B587</f>
        <v>0</v>
      </c>
      <c r="B579" s="1">
        <f>Datasheet!C587</f>
        <v>0</v>
      </c>
    </row>
    <row r="580" spans="1:2">
      <c r="A580" s="1">
        <f>Datasheet!B588</f>
        <v>0</v>
      </c>
      <c r="B580" s="1">
        <f>Datasheet!C588</f>
        <v>0</v>
      </c>
    </row>
    <row r="581" spans="1:2">
      <c r="A581" s="1">
        <f>Datasheet!B589</f>
        <v>0</v>
      </c>
      <c r="B581" s="1">
        <f>Datasheet!C589</f>
        <v>0</v>
      </c>
    </row>
    <row r="582" spans="1:2">
      <c r="A582" s="1">
        <f>Datasheet!B590</f>
        <v>0</v>
      </c>
      <c r="B582" s="1">
        <f>Datasheet!C590</f>
        <v>0</v>
      </c>
    </row>
    <row r="583" spans="1:2">
      <c r="A583" s="1">
        <f>Datasheet!B591</f>
        <v>0</v>
      </c>
      <c r="B583" s="1">
        <f>Datasheet!C591</f>
        <v>0</v>
      </c>
    </row>
    <row r="584" spans="1:2">
      <c r="A584" s="1">
        <f>Datasheet!B592</f>
        <v>0</v>
      </c>
      <c r="B584" s="1">
        <f>Datasheet!C592</f>
        <v>0</v>
      </c>
    </row>
    <row r="585" spans="1:2">
      <c r="A585" s="1">
        <f>Datasheet!B593</f>
        <v>0</v>
      </c>
      <c r="B585" s="1">
        <f>Datasheet!C593</f>
        <v>0</v>
      </c>
    </row>
    <row r="586" spans="1:2">
      <c r="A586" s="1">
        <f>Datasheet!B594</f>
        <v>0</v>
      </c>
      <c r="B586" s="1">
        <f>Datasheet!C594</f>
        <v>0</v>
      </c>
    </row>
    <row r="587" spans="1:2">
      <c r="A587" s="1">
        <f>Datasheet!B595</f>
        <v>0</v>
      </c>
      <c r="B587" s="1">
        <f>Datasheet!C595</f>
        <v>0</v>
      </c>
    </row>
    <row r="588" spans="1:2">
      <c r="A588" s="1">
        <f>Datasheet!B596</f>
        <v>0</v>
      </c>
      <c r="B588" s="1">
        <f>Datasheet!C596</f>
        <v>0</v>
      </c>
    </row>
    <row r="589" spans="1:2">
      <c r="A589" s="1">
        <f>Datasheet!B597</f>
        <v>0</v>
      </c>
      <c r="B589" s="1">
        <f>Datasheet!C597</f>
        <v>0</v>
      </c>
    </row>
    <row r="590" spans="1:2">
      <c r="A590" s="1">
        <f>Datasheet!B598</f>
        <v>0</v>
      </c>
      <c r="B590" s="1">
        <f>Datasheet!C598</f>
        <v>0</v>
      </c>
    </row>
    <row r="591" spans="1:2">
      <c r="A591" s="1">
        <f>Datasheet!B599</f>
        <v>0</v>
      </c>
      <c r="B591" s="1">
        <f>Datasheet!C599</f>
        <v>0</v>
      </c>
    </row>
    <row r="592" spans="1:2">
      <c r="A592" s="1">
        <f>Datasheet!B600</f>
        <v>0</v>
      </c>
      <c r="B592" s="1">
        <f>Datasheet!C600</f>
        <v>0</v>
      </c>
    </row>
    <row r="593" spans="1:2">
      <c r="A593" s="1">
        <f>Datasheet!B601</f>
        <v>0</v>
      </c>
      <c r="B593" s="1">
        <f>Datasheet!C601</f>
        <v>0</v>
      </c>
    </row>
    <row r="594" spans="1:2">
      <c r="A594" s="1">
        <f>Datasheet!B602</f>
        <v>0</v>
      </c>
      <c r="B594" s="1">
        <f>Datasheet!C602</f>
        <v>0</v>
      </c>
    </row>
    <row r="595" spans="1:2">
      <c r="A595" s="1">
        <f>Datasheet!B603</f>
        <v>0</v>
      </c>
      <c r="B595" s="1">
        <f>Datasheet!C603</f>
        <v>0</v>
      </c>
    </row>
    <row r="596" spans="1:2">
      <c r="A596" s="1">
        <f>Datasheet!B604</f>
        <v>0</v>
      </c>
      <c r="B596" s="1">
        <f>Datasheet!C604</f>
        <v>0</v>
      </c>
    </row>
    <row r="597" spans="1:2">
      <c r="A597" s="1">
        <f>Datasheet!B605</f>
        <v>0</v>
      </c>
      <c r="B597" s="1">
        <f>Datasheet!C605</f>
        <v>0</v>
      </c>
    </row>
    <row r="598" spans="1:2">
      <c r="A598" s="1">
        <f>Datasheet!B606</f>
        <v>0</v>
      </c>
      <c r="B598" s="1">
        <f>Datasheet!C606</f>
        <v>0</v>
      </c>
    </row>
    <row r="599" spans="1:2">
      <c r="A599" s="1">
        <f>Datasheet!B607</f>
        <v>0</v>
      </c>
      <c r="B599" s="1">
        <f>Datasheet!C607</f>
        <v>0</v>
      </c>
    </row>
    <row r="600" spans="1:2">
      <c r="A600" s="1">
        <f>Datasheet!B608</f>
        <v>0</v>
      </c>
      <c r="B600" s="1">
        <f>Datasheet!C608</f>
        <v>0</v>
      </c>
    </row>
    <row r="601" spans="1:2">
      <c r="A601" s="1">
        <f>Datasheet!B609</f>
        <v>0</v>
      </c>
      <c r="B601" s="1">
        <f>Datasheet!C609</f>
        <v>0</v>
      </c>
    </row>
    <row r="602" spans="1:2">
      <c r="A602" s="1">
        <f>Datasheet!B610</f>
        <v>0</v>
      </c>
      <c r="B602" s="1">
        <f>Datasheet!C610</f>
        <v>0</v>
      </c>
    </row>
    <row r="603" spans="1:2">
      <c r="A603" s="1">
        <f>Datasheet!B611</f>
        <v>0</v>
      </c>
      <c r="B603" s="1">
        <f>Datasheet!C611</f>
        <v>0</v>
      </c>
    </row>
    <row r="604" spans="1:2">
      <c r="A604" s="1">
        <f>Datasheet!B612</f>
        <v>0</v>
      </c>
      <c r="B604" s="1">
        <f>Datasheet!C612</f>
        <v>0</v>
      </c>
    </row>
    <row r="605" spans="1:2">
      <c r="A605" s="1">
        <f>Datasheet!B613</f>
        <v>0</v>
      </c>
      <c r="B605" s="1">
        <f>Datasheet!C613</f>
        <v>0</v>
      </c>
    </row>
    <row r="606" spans="1:2">
      <c r="A606" s="1">
        <f>Datasheet!B614</f>
        <v>0</v>
      </c>
      <c r="B606" s="1">
        <f>Datasheet!C614</f>
        <v>0</v>
      </c>
    </row>
    <row r="607" spans="1:2">
      <c r="A607" s="1">
        <f>Datasheet!B615</f>
        <v>0</v>
      </c>
      <c r="B607" s="1">
        <f>Datasheet!C615</f>
        <v>0</v>
      </c>
    </row>
    <row r="608" spans="1:2">
      <c r="A608" s="1">
        <f>Datasheet!B616</f>
        <v>0</v>
      </c>
      <c r="B608" s="1">
        <f>Datasheet!C616</f>
        <v>0</v>
      </c>
    </row>
    <row r="609" spans="1:2">
      <c r="A609" s="1">
        <f>Datasheet!B617</f>
        <v>0</v>
      </c>
      <c r="B609" s="1">
        <f>Datasheet!C617</f>
        <v>0</v>
      </c>
    </row>
    <row r="610" spans="1:2">
      <c r="A610" s="1">
        <f>Datasheet!B618</f>
        <v>0</v>
      </c>
      <c r="B610" s="1">
        <f>Datasheet!C618</f>
        <v>0</v>
      </c>
    </row>
    <row r="611" spans="1:2">
      <c r="B611" s="14"/>
    </row>
    <row r="612" spans="1:2">
      <c r="B612" s="14"/>
    </row>
    <row r="613" spans="1:2">
      <c r="B613" s="14"/>
    </row>
    <row r="614" spans="1:2">
      <c r="B614" s="14"/>
    </row>
    <row r="615" spans="1:2">
      <c r="B615" s="14"/>
    </row>
    <row r="616" spans="1:2">
      <c r="B616" s="14"/>
    </row>
    <row r="617" spans="1:2">
      <c r="B617" s="14"/>
    </row>
    <row r="618" spans="1:2">
      <c r="B618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3"/>
  <sheetViews>
    <sheetView zoomScale="85" zoomScaleNormal="85" workbookViewId="0">
      <selection activeCell="C41" sqref="C41"/>
    </sheetView>
  </sheetViews>
  <sheetFormatPr defaultColWidth="9.125" defaultRowHeight="12.75"/>
  <cols>
    <col min="1" max="1" width="24.75" style="231" customWidth="1"/>
    <col min="2" max="2" width="19.375" style="231" customWidth="1"/>
    <col min="3" max="3" width="13.625" style="231" customWidth="1"/>
    <col min="4" max="4" width="9.125" style="231" customWidth="1"/>
    <col min="5" max="5" width="14" style="231" customWidth="1"/>
    <col min="6" max="6" width="9.125" style="231"/>
    <col min="7" max="7" width="12.25" style="231" customWidth="1"/>
    <col min="8" max="8" width="12.375" style="231" customWidth="1"/>
    <col min="9" max="10" width="27.75" style="231" customWidth="1"/>
    <col min="11" max="11" width="22.25" style="231" customWidth="1"/>
    <col min="12" max="12" width="21.75" style="231" customWidth="1"/>
    <col min="13" max="13" width="13.625" style="231" customWidth="1"/>
    <col min="14" max="16384" width="9.125" style="231"/>
  </cols>
  <sheetData>
    <row r="1" spans="1:16" s="212" customFormat="1" ht="21.75" customHeight="1">
      <c r="A1" s="208" t="s">
        <v>42</v>
      </c>
      <c r="B1" s="209" t="s">
        <v>49</v>
      </c>
      <c r="C1" s="209" t="s">
        <v>48</v>
      </c>
      <c r="D1" s="209" t="s">
        <v>89</v>
      </c>
      <c r="E1" s="209" t="s">
        <v>155</v>
      </c>
      <c r="F1" s="218" t="s">
        <v>157</v>
      </c>
      <c r="G1" s="210"/>
      <c r="H1" s="210"/>
      <c r="I1" s="208" t="s">
        <v>51</v>
      </c>
      <c r="J1" s="226"/>
      <c r="K1" s="393"/>
      <c r="L1" s="227" t="s">
        <v>74</v>
      </c>
    </row>
    <row r="2" spans="1:16" s="212" customFormat="1" ht="21.75" customHeight="1">
      <c r="A2" s="219" t="s">
        <v>76</v>
      </c>
      <c r="B2" s="213">
        <v>5976</v>
      </c>
      <c r="C2" s="214">
        <v>0.4</v>
      </c>
      <c r="D2" s="215">
        <v>2005</v>
      </c>
      <c r="E2" s="212" t="s">
        <v>152</v>
      </c>
      <c r="F2" s="220" t="s">
        <v>156</v>
      </c>
      <c r="H2" s="210"/>
      <c r="I2" s="219" t="s">
        <v>52</v>
      </c>
      <c r="J2" s="211"/>
      <c r="K2" s="394"/>
      <c r="L2" s="220" t="s">
        <v>187</v>
      </c>
    </row>
    <row r="3" spans="1:16" s="212" customFormat="1" ht="27" customHeight="1">
      <c r="A3" s="219" t="s">
        <v>75</v>
      </c>
      <c r="B3" s="213">
        <v>9314</v>
      </c>
      <c r="C3" s="214">
        <v>0.7</v>
      </c>
      <c r="D3" s="215">
        <v>2010</v>
      </c>
      <c r="E3" s="212" t="s">
        <v>153</v>
      </c>
      <c r="F3" s="220" t="s">
        <v>156</v>
      </c>
      <c r="H3" s="210"/>
      <c r="I3" s="219" t="s">
        <v>53</v>
      </c>
      <c r="J3" s="211"/>
      <c r="K3" s="394"/>
      <c r="L3" s="220" t="s">
        <v>172</v>
      </c>
    </row>
    <row r="4" spans="1:16" s="212" customFormat="1" ht="23.25" customHeight="1">
      <c r="A4" s="219" t="s">
        <v>83</v>
      </c>
      <c r="B4" s="211">
        <v>13195</v>
      </c>
      <c r="C4" s="216">
        <v>0.8</v>
      </c>
      <c r="D4" s="217">
        <v>2018</v>
      </c>
      <c r="E4" s="212" t="s">
        <v>185</v>
      </c>
      <c r="F4" s="220" t="s">
        <v>156</v>
      </c>
      <c r="H4" s="210"/>
      <c r="I4" s="219" t="s">
        <v>54</v>
      </c>
      <c r="J4" s="211" t="s">
        <v>171</v>
      </c>
      <c r="K4" s="394"/>
      <c r="L4" s="220" t="s">
        <v>158</v>
      </c>
    </row>
    <row r="5" spans="1:16" s="212" customFormat="1" ht="22.5" customHeight="1">
      <c r="A5" s="219" t="s">
        <v>77</v>
      </c>
      <c r="B5" s="211">
        <v>16262</v>
      </c>
      <c r="C5" s="214">
        <v>1.2</v>
      </c>
      <c r="D5" s="217">
        <v>2019</v>
      </c>
      <c r="E5" s="212" t="s">
        <v>186</v>
      </c>
      <c r="F5" s="220"/>
      <c r="H5" s="210"/>
      <c r="I5" s="219" t="s">
        <v>55</v>
      </c>
      <c r="J5" s="210" t="s">
        <v>95</v>
      </c>
      <c r="K5" s="210" t="s">
        <v>96</v>
      </c>
      <c r="L5" s="220"/>
    </row>
    <row r="6" spans="1:16" s="212" customFormat="1" ht="25.5" customHeight="1">
      <c r="A6" s="219" t="s">
        <v>47</v>
      </c>
      <c r="B6" s="211"/>
      <c r="C6" s="214">
        <v>1.2</v>
      </c>
      <c r="E6" s="212" t="s">
        <v>151</v>
      </c>
      <c r="F6" s="220"/>
      <c r="I6" s="395" t="s">
        <v>97</v>
      </c>
      <c r="J6" s="396"/>
      <c r="K6" s="396"/>
      <c r="L6" s="220"/>
      <c r="N6" s="231"/>
      <c r="O6" s="231"/>
      <c r="P6" s="231"/>
    </row>
    <row r="7" spans="1:16" s="212" customFormat="1" ht="29.25" customHeight="1" thickBot="1">
      <c r="A7" s="221" t="s">
        <v>94</v>
      </c>
      <c r="B7" s="222">
        <v>650</v>
      </c>
      <c r="C7" s="223">
        <v>2</v>
      </c>
      <c r="D7" s="224"/>
      <c r="E7" s="224" t="s">
        <v>154</v>
      </c>
      <c r="F7" s="225"/>
      <c r="I7" s="228"/>
      <c r="J7" s="224"/>
      <c r="K7" s="224"/>
      <c r="L7" s="225"/>
      <c r="N7" s="231"/>
      <c r="O7" s="231">
        <f>IF(H2="गवती/ झोपडी / मातीचे घर",2005,)</f>
        <v>0</v>
      </c>
      <c r="P7" s="231"/>
    </row>
    <row r="8" spans="1:16">
      <c r="A8" s="229"/>
      <c r="B8" s="229"/>
      <c r="C8" s="230"/>
      <c r="O8" s="231" t="s">
        <v>90</v>
      </c>
    </row>
    <row r="9" spans="1:16" ht="18" customHeight="1">
      <c r="A9" s="229"/>
      <c r="B9" s="229"/>
      <c r="O9" s="231" t="s">
        <v>91</v>
      </c>
    </row>
    <row r="10" spans="1:16" ht="25.5">
      <c r="A10" s="229"/>
      <c r="B10" s="229"/>
      <c r="J10" s="232" t="s">
        <v>87</v>
      </c>
      <c r="K10" s="231" t="s">
        <v>50</v>
      </c>
      <c r="O10" s="231" t="s">
        <v>92</v>
      </c>
    </row>
    <row r="11" spans="1:16">
      <c r="A11" s="229"/>
      <c r="B11" s="229"/>
      <c r="G11" s="231" t="s">
        <v>84</v>
      </c>
      <c r="H11" s="231">
        <v>1</v>
      </c>
      <c r="J11" s="229">
        <v>2025</v>
      </c>
      <c r="K11" s="231">
        <v>1</v>
      </c>
      <c r="O11" s="231" t="s">
        <v>93</v>
      </c>
    </row>
    <row r="12" spans="1:16">
      <c r="A12" s="229"/>
      <c r="B12" s="229"/>
      <c r="G12" s="231" t="s">
        <v>85</v>
      </c>
      <c r="H12" s="231">
        <v>1.2</v>
      </c>
      <c r="J12" s="229">
        <v>2024</v>
      </c>
      <c r="K12" s="231">
        <v>1</v>
      </c>
    </row>
    <row r="13" spans="1:16">
      <c r="A13" s="229"/>
      <c r="B13" s="229"/>
      <c r="G13" s="231" t="s">
        <v>86</v>
      </c>
      <c r="H13" s="231">
        <v>1.25</v>
      </c>
      <c r="J13" s="229">
        <v>2023</v>
      </c>
      <c r="K13" s="231">
        <v>0.95</v>
      </c>
    </row>
    <row r="14" spans="1:16">
      <c r="A14" s="229"/>
      <c r="B14" s="229"/>
      <c r="J14" s="229">
        <v>2022</v>
      </c>
      <c r="K14" s="231">
        <v>0.95</v>
      </c>
    </row>
    <row r="15" spans="1:16">
      <c r="A15" s="229"/>
      <c r="B15" s="229"/>
      <c r="J15" s="229">
        <v>2021</v>
      </c>
      <c r="K15" s="231">
        <v>0.95</v>
      </c>
    </row>
    <row r="16" spans="1:16">
      <c r="A16" s="229"/>
      <c r="B16" s="229"/>
      <c r="J16" s="229">
        <v>2020</v>
      </c>
      <c r="K16" s="231">
        <v>0.85</v>
      </c>
    </row>
    <row r="17" spans="1:11">
      <c r="A17" s="229"/>
      <c r="B17" s="229"/>
      <c r="J17" s="229">
        <v>2019</v>
      </c>
      <c r="K17" s="231">
        <v>0.85</v>
      </c>
    </row>
    <row r="18" spans="1:11">
      <c r="A18" s="229"/>
      <c r="B18" s="229"/>
      <c r="J18" s="229">
        <v>2018</v>
      </c>
      <c r="K18" s="231">
        <v>0.85</v>
      </c>
    </row>
    <row r="19" spans="1:11">
      <c r="A19" s="229"/>
      <c r="B19" s="229"/>
      <c r="J19" s="229">
        <v>2017</v>
      </c>
      <c r="K19" s="231">
        <v>0.85</v>
      </c>
    </row>
    <row r="20" spans="1:11">
      <c r="A20" s="229"/>
      <c r="B20" s="229"/>
      <c r="J20" s="229">
        <v>2016</v>
      </c>
      <c r="K20" s="231">
        <v>0.85</v>
      </c>
    </row>
    <row r="21" spans="1:11">
      <c r="A21" s="229"/>
      <c r="B21" s="229"/>
      <c r="J21" s="229">
        <v>2015</v>
      </c>
      <c r="K21" s="231">
        <v>0.75</v>
      </c>
    </row>
    <row r="22" spans="1:11">
      <c r="A22" s="229"/>
      <c r="B22" s="229"/>
      <c r="E22" s="231" t="s">
        <v>183</v>
      </c>
      <c r="J22" s="229">
        <v>2014</v>
      </c>
      <c r="K22" s="231">
        <v>0.75</v>
      </c>
    </row>
    <row r="23" spans="1:11">
      <c r="A23" s="229"/>
      <c r="B23" s="229"/>
      <c r="E23" s="231" t="str">
        <f>SUBSTITUTE(SUBSTITUTE(SUBSTITUTE(SUBSTITUTE(SUBSTITUTE(SUBSTITUTE(SUBSTITUTE(SUBSTITUTE(SUBSTITUTE(SUBSTITUTE(B2,"०","0"),"१","1"),"२","2"),"३","3"),"४","4"),"५","5"),"६","6"),"७","7"),"८","8"),"९","9")</f>
        <v>5976</v>
      </c>
      <c r="J23" s="229">
        <v>2013</v>
      </c>
      <c r="K23" s="231">
        <v>0.75</v>
      </c>
    </row>
    <row r="24" spans="1:11">
      <c r="A24" s="229"/>
      <c r="B24" s="229"/>
      <c r="J24" s="229">
        <v>2012</v>
      </c>
      <c r="K24" s="231">
        <v>0.75</v>
      </c>
    </row>
    <row r="25" spans="1:11">
      <c r="A25" s="229"/>
      <c r="B25" s="229"/>
      <c r="J25" s="229">
        <v>2011</v>
      </c>
      <c r="K25" s="231">
        <v>0.75</v>
      </c>
    </row>
    <row r="26" spans="1:11">
      <c r="A26" s="229"/>
      <c r="B26" s="229"/>
      <c r="J26" s="229">
        <v>2010</v>
      </c>
      <c r="K26" s="231">
        <v>0.75</v>
      </c>
    </row>
    <row r="27" spans="1:11">
      <c r="A27" s="229"/>
      <c r="B27" s="229"/>
      <c r="J27" s="229">
        <v>2009</v>
      </c>
      <c r="K27" s="231">
        <v>0.75</v>
      </c>
    </row>
    <row r="28" spans="1:11">
      <c r="A28" s="229"/>
      <c r="B28" s="229"/>
      <c r="J28" s="229">
        <v>2008</v>
      </c>
      <c r="K28" s="231">
        <v>0.75</v>
      </c>
    </row>
    <row r="29" spans="1:11">
      <c r="A29" s="229"/>
      <c r="B29" s="229"/>
      <c r="J29" s="229">
        <v>2007</v>
      </c>
      <c r="K29" s="231">
        <v>0.75</v>
      </c>
    </row>
    <row r="30" spans="1:11">
      <c r="A30" s="229"/>
      <c r="B30" s="229"/>
      <c r="J30" s="229">
        <v>2006</v>
      </c>
      <c r="K30" s="231">
        <v>0.75</v>
      </c>
    </row>
    <row r="31" spans="1:11">
      <c r="A31" s="229"/>
      <c r="B31" s="229"/>
      <c r="J31" s="229">
        <v>2005</v>
      </c>
      <c r="K31" s="231">
        <v>0.6</v>
      </c>
    </row>
    <row r="32" spans="1:11">
      <c r="A32" s="229"/>
      <c r="B32" s="229"/>
      <c r="J32" s="229">
        <v>2004</v>
      </c>
      <c r="K32" s="231">
        <v>0.6</v>
      </c>
    </row>
    <row r="33" spans="1:11">
      <c r="A33" s="229"/>
      <c r="B33" s="229"/>
      <c r="J33" s="229">
        <v>2003</v>
      </c>
      <c r="K33" s="231">
        <v>0.6</v>
      </c>
    </row>
    <row r="34" spans="1:11">
      <c r="A34" s="229"/>
      <c r="B34" s="229"/>
      <c r="J34" s="229">
        <v>2002</v>
      </c>
      <c r="K34" s="231">
        <v>0.6</v>
      </c>
    </row>
    <row r="35" spans="1:11">
      <c r="A35" s="229"/>
      <c r="B35" s="229"/>
      <c r="J35" s="229">
        <v>2001</v>
      </c>
      <c r="K35" s="231">
        <v>0.6</v>
      </c>
    </row>
    <row r="36" spans="1:11">
      <c r="A36" s="229"/>
      <c r="B36" s="229"/>
      <c r="J36" s="229">
        <v>2000</v>
      </c>
      <c r="K36" s="231">
        <v>0.6</v>
      </c>
    </row>
    <row r="37" spans="1:11">
      <c r="A37" s="229"/>
      <c r="B37" s="229"/>
      <c r="J37" s="229">
        <v>1999</v>
      </c>
      <c r="K37" s="231">
        <v>0.6</v>
      </c>
    </row>
    <row r="38" spans="1:11">
      <c r="A38" s="229"/>
      <c r="B38" s="229"/>
      <c r="J38" s="229">
        <v>1998</v>
      </c>
      <c r="K38" s="231">
        <v>0.6</v>
      </c>
    </row>
    <row r="39" spans="1:11">
      <c r="A39" s="229"/>
      <c r="B39" s="229"/>
      <c r="J39" s="229">
        <v>1997</v>
      </c>
      <c r="K39" s="231">
        <v>0.6</v>
      </c>
    </row>
    <row r="40" spans="1:11">
      <c r="A40" s="229"/>
      <c r="B40" s="229"/>
      <c r="J40" s="229">
        <v>1996</v>
      </c>
      <c r="K40" s="231">
        <v>0.6</v>
      </c>
    </row>
    <row r="41" spans="1:11">
      <c r="A41" s="229"/>
      <c r="B41" s="229"/>
      <c r="J41" s="229">
        <v>1995</v>
      </c>
      <c r="K41" s="231">
        <v>0.45</v>
      </c>
    </row>
    <row r="42" spans="1:11">
      <c r="A42" s="229"/>
      <c r="B42" s="229"/>
      <c r="J42" s="229">
        <v>1994</v>
      </c>
      <c r="K42" s="231">
        <v>0.45</v>
      </c>
    </row>
    <row r="43" spans="1:11">
      <c r="A43" s="229"/>
      <c r="B43" s="229"/>
      <c r="J43" s="229">
        <v>1993</v>
      </c>
      <c r="K43" s="231">
        <v>0.45</v>
      </c>
    </row>
    <row r="44" spans="1:11">
      <c r="A44" s="229"/>
      <c r="B44" s="229"/>
      <c r="J44" s="229">
        <v>1992</v>
      </c>
      <c r="K44" s="231">
        <v>0.45</v>
      </c>
    </row>
    <row r="45" spans="1:11">
      <c r="A45" s="229"/>
      <c r="B45" s="229"/>
      <c r="J45" s="229">
        <v>1991</v>
      </c>
      <c r="K45" s="231">
        <v>0.45</v>
      </c>
    </row>
    <row r="46" spans="1:11">
      <c r="A46" s="229"/>
      <c r="B46" s="229"/>
      <c r="J46" s="229">
        <v>1990</v>
      </c>
      <c r="K46" s="231">
        <v>0.45</v>
      </c>
    </row>
    <row r="47" spans="1:11">
      <c r="A47" s="229"/>
      <c r="B47" s="229"/>
      <c r="J47" s="229">
        <v>1989</v>
      </c>
      <c r="K47" s="231">
        <v>0.45</v>
      </c>
    </row>
    <row r="48" spans="1:11">
      <c r="A48" s="229"/>
      <c r="B48" s="229"/>
      <c r="J48" s="229">
        <v>1988</v>
      </c>
      <c r="K48" s="231">
        <v>0.45</v>
      </c>
    </row>
    <row r="49" spans="1:11">
      <c r="A49" s="229"/>
      <c r="B49" s="229"/>
      <c r="J49" s="229">
        <v>1987</v>
      </c>
      <c r="K49" s="231">
        <v>0.45</v>
      </c>
    </row>
    <row r="50" spans="1:11">
      <c r="A50" s="229"/>
      <c r="B50" s="229"/>
      <c r="J50" s="229">
        <v>1986</v>
      </c>
      <c r="K50" s="231">
        <v>0.45</v>
      </c>
    </row>
    <row r="51" spans="1:11">
      <c r="A51" s="229"/>
      <c r="B51" s="229"/>
      <c r="J51" s="229">
        <v>1985</v>
      </c>
      <c r="K51" s="231">
        <v>0.3</v>
      </c>
    </row>
    <row r="52" spans="1:11">
      <c r="A52" s="229"/>
      <c r="B52" s="229"/>
      <c r="J52" s="229">
        <v>1984</v>
      </c>
      <c r="K52" s="231">
        <v>0.3</v>
      </c>
    </row>
    <row r="53" spans="1:11">
      <c r="A53" s="229"/>
      <c r="B53" s="229"/>
      <c r="J53" s="229">
        <v>1983</v>
      </c>
      <c r="K53" s="231">
        <v>0.3</v>
      </c>
    </row>
    <row r="54" spans="1:11">
      <c r="A54" s="229"/>
      <c r="B54" s="229"/>
      <c r="J54" s="229">
        <v>1982</v>
      </c>
      <c r="K54" s="231">
        <v>0.3</v>
      </c>
    </row>
    <row r="55" spans="1:11">
      <c r="J55" s="229">
        <v>1981</v>
      </c>
      <c r="K55" s="231">
        <v>0.3</v>
      </c>
    </row>
    <row r="56" spans="1:11">
      <c r="J56" s="229">
        <v>1980</v>
      </c>
      <c r="K56" s="231">
        <v>0.3</v>
      </c>
    </row>
    <row r="57" spans="1:11">
      <c r="J57" s="232" t="s">
        <v>88</v>
      </c>
      <c r="K57" s="233" t="s">
        <v>50</v>
      </c>
    </row>
    <row r="58" spans="1:11">
      <c r="J58" s="229">
        <v>2025</v>
      </c>
      <c r="K58" s="231">
        <v>1</v>
      </c>
    </row>
    <row r="59" spans="1:11">
      <c r="J59" s="229">
        <v>2024</v>
      </c>
      <c r="K59" s="231">
        <v>1</v>
      </c>
    </row>
    <row r="60" spans="1:11">
      <c r="J60" s="229">
        <v>2023</v>
      </c>
      <c r="K60" s="231">
        <v>0.95</v>
      </c>
    </row>
    <row r="61" spans="1:11">
      <c r="J61" s="229">
        <v>2022</v>
      </c>
      <c r="K61" s="231">
        <v>0.95</v>
      </c>
    </row>
    <row r="62" spans="1:11">
      <c r="J62" s="229">
        <v>2021</v>
      </c>
      <c r="K62" s="231">
        <v>0.95</v>
      </c>
    </row>
    <row r="63" spans="1:11">
      <c r="J63" s="229">
        <v>2020</v>
      </c>
      <c r="K63" s="231">
        <v>0.9</v>
      </c>
    </row>
    <row r="64" spans="1:11">
      <c r="J64" s="229">
        <v>2019</v>
      </c>
      <c r="K64" s="231">
        <v>0.9</v>
      </c>
    </row>
    <row r="65" spans="10:11">
      <c r="J65" s="229">
        <v>2018</v>
      </c>
      <c r="K65" s="231">
        <v>0.9</v>
      </c>
    </row>
    <row r="66" spans="10:11">
      <c r="J66" s="229">
        <v>2017</v>
      </c>
      <c r="K66" s="231">
        <v>0.9</v>
      </c>
    </row>
    <row r="67" spans="10:11">
      <c r="J67" s="229">
        <v>2016</v>
      </c>
      <c r="K67" s="231">
        <v>0.9</v>
      </c>
    </row>
    <row r="68" spans="10:11">
      <c r="J68" s="229">
        <v>2015</v>
      </c>
      <c r="K68" s="231">
        <v>0.8</v>
      </c>
    </row>
    <row r="69" spans="10:11">
      <c r="J69" s="229">
        <v>2014</v>
      </c>
      <c r="K69" s="231">
        <v>0.8</v>
      </c>
    </row>
    <row r="70" spans="10:11">
      <c r="J70" s="229">
        <v>2013</v>
      </c>
      <c r="K70" s="231">
        <v>0.8</v>
      </c>
    </row>
    <row r="71" spans="10:11">
      <c r="J71" s="229">
        <v>2012</v>
      </c>
      <c r="K71" s="231">
        <v>0.8</v>
      </c>
    </row>
    <row r="72" spans="10:11">
      <c r="J72" s="229">
        <v>2011</v>
      </c>
      <c r="K72" s="231">
        <v>0.8</v>
      </c>
    </row>
    <row r="73" spans="10:11">
      <c r="J73" s="229">
        <v>2010</v>
      </c>
      <c r="K73" s="231">
        <v>0.8</v>
      </c>
    </row>
    <row r="74" spans="10:11">
      <c r="J74" s="229">
        <v>2009</v>
      </c>
      <c r="K74" s="231">
        <v>0.8</v>
      </c>
    </row>
    <row r="75" spans="10:11">
      <c r="J75" s="229">
        <v>2008</v>
      </c>
      <c r="K75" s="231">
        <v>0.8</v>
      </c>
    </row>
    <row r="76" spans="10:11">
      <c r="J76" s="229">
        <v>2007</v>
      </c>
      <c r="K76" s="231">
        <v>0.8</v>
      </c>
    </row>
    <row r="77" spans="10:11">
      <c r="J77" s="229">
        <v>2006</v>
      </c>
      <c r="K77" s="231">
        <v>0.8</v>
      </c>
    </row>
    <row r="78" spans="10:11">
      <c r="J78" s="229">
        <v>2005</v>
      </c>
      <c r="K78" s="231">
        <v>0.7</v>
      </c>
    </row>
    <row r="79" spans="10:11">
      <c r="J79" s="229">
        <v>2004</v>
      </c>
      <c r="K79" s="231">
        <v>0.7</v>
      </c>
    </row>
    <row r="80" spans="10:11">
      <c r="J80" s="229">
        <v>2003</v>
      </c>
      <c r="K80" s="231">
        <v>0.7</v>
      </c>
    </row>
    <row r="81" spans="10:11">
      <c r="J81" s="229">
        <v>2002</v>
      </c>
      <c r="K81" s="231">
        <v>0.7</v>
      </c>
    </row>
    <row r="82" spans="10:11">
      <c r="J82" s="229">
        <v>2001</v>
      </c>
      <c r="K82" s="231">
        <v>0.7</v>
      </c>
    </row>
    <row r="83" spans="10:11">
      <c r="J83" s="229">
        <v>2000</v>
      </c>
      <c r="K83" s="231">
        <v>0.7</v>
      </c>
    </row>
    <row r="84" spans="10:11">
      <c r="J84" s="229">
        <v>1999</v>
      </c>
      <c r="K84" s="231">
        <v>0.7</v>
      </c>
    </row>
    <row r="85" spans="10:11">
      <c r="J85" s="229">
        <v>1998</v>
      </c>
      <c r="K85" s="231">
        <v>0.7</v>
      </c>
    </row>
    <row r="86" spans="10:11">
      <c r="J86" s="229">
        <v>1997</v>
      </c>
      <c r="K86" s="231">
        <v>0.7</v>
      </c>
    </row>
    <row r="87" spans="10:11">
      <c r="J87" s="229">
        <v>1996</v>
      </c>
      <c r="K87" s="231">
        <v>0.7</v>
      </c>
    </row>
    <row r="88" spans="10:11">
      <c r="J88" s="229">
        <v>1995</v>
      </c>
      <c r="K88" s="231">
        <v>0.6</v>
      </c>
    </row>
    <row r="89" spans="10:11">
      <c r="J89" s="229">
        <v>1994</v>
      </c>
      <c r="K89" s="231">
        <v>0.6</v>
      </c>
    </row>
    <row r="90" spans="10:11">
      <c r="J90" s="229">
        <v>1993</v>
      </c>
      <c r="K90" s="231">
        <v>0.6</v>
      </c>
    </row>
    <row r="91" spans="10:11">
      <c r="J91" s="229">
        <v>1992</v>
      </c>
      <c r="K91" s="231">
        <v>0.6</v>
      </c>
    </row>
    <row r="92" spans="10:11">
      <c r="J92" s="229">
        <v>1991</v>
      </c>
      <c r="K92" s="231">
        <v>0.6</v>
      </c>
    </row>
    <row r="93" spans="10:11">
      <c r="J93" s="229">
        <v>1990</v>
      </c>
      <c r="K93" s="231">
        <v>0.6</v>
      </c>
    </row>
    <row r="94" spans="10:11">
      <c r="J94" s="229">
        <v>1989</v>
      </c>
      <c r="K94" s="231">
        <v>0.6</v>
      </c>
    </row>
    <row r="95" spans="10:11">
      <c r="J95" s="229">
        <v>1988</v>
      </c>
      <c r="K95" s="231">
        <v>0.6</v>
      </c>
    </row>
    <row r="96" spans="10:11">
      <c r="J96" s="229">
        <v>1987</v>
      </c>
      <c r="K96" s="231">
        <v>0.6</v>
      </c>
    </row>
    <row r="97" spans="10:11">
      <c r="J97" s="229">
        <v>1986</v>
      </c>
      <c r="K97" s="231">
        <v>0.6</v>
      </c>
    </row>
    <row r="98" spans="10:11">
      <c r="J98" s="229">
        <v>1985</v>
      </c>
      <c r="K98" s="231">
        <v>0.5</v>
      </c>
    </row>
    <row r="99" spans="10:11">
      <c r="J99" s="229">
        <v>1984</v>
      </c>
      <c r="K99" s="231">
        <v>0.5</v>
      </c>
    </row>
    <row r="100" spans="10:11">
      <c r="J100" s="229">
        <v>1983</v>
      </c>
      <c r="K100" s="231">
        <v>0.5</v>
      </c>
    </row>
    <row r="101" spans="10:11">
      <c r="J101" s="229">
        <v>1982</v>
      </c>
      <c r="K101" s="231">
        <v>0.5</v>
      </c>
    </row>
    <row r="102" spans="10:11">
      <c r="J102" s="229">
        <v>1981</v>
      </c>
      <c r="K102" s="231">
        <v>0.5</v>
      </c>
    </row>
    <row r="103" spans="10:11">
      <c r="J103" s="229">
        <v>1980</v>
      </c>
      <c r="K103" s="231">
        <v>0.5</v>
      </c>
    </row>
  </sheetData>
  <sheetProtection password="D844" sheet="1" objects="1" scenarios="1" formatCells="0" formatColumns="0"/>
  <mergeCells count="2">
    <mergeCell ref="K1:K4"/>
    <mergeCell ref="I6:K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31"/>
  <sheetViews>
    <sheetView workbookViewId="0">
      <selection activeCell="H32" sqref="H32"/>
    </sheetView>
  </sheetViews>
  <sheetFormatPr defaultRowHeight="14.25"/>
  <cols>
    <col min="1" max="1" width="4.125" customWidth="1"/>
    <col min="2" max="2" width="26.375" customWidth="1"/>
    <col min="3" max="3" width="22.25" customWidth="1"/>
    <col min="4" max="4" width="24.875" customWidth="1"/>
    <col min="5" max="5" width="4.875" customWidth="1"/>
    <col min="6" max="6" width="5.25" customWidth="1"/>
    <col min="8" max="8" width="25.75" customWidth="1"/>
    <col min="9" max="9" width="13.375" customWidth="1"/>
    <col min="10" max="10" width="11.625" customWidth="1"/>
  </cols>
  <sheetData>
    <row r="1" spans="1:17">
      <c r="A1" s="23"/>
      <c r="B1" s="24"/>
      <c r="C1" s="24"/>
      <c r="D1" s="24"/>
      <c r="E1" s="24"/>
      <c r="F1" s="24"/>
      <c r="G1" s="24"/>
      <c r="H1" s="24"/>
      <c r="I1" s="24"/>
      <c r="J1" s="25"/>
      <c r="K1" s="17"/>
    </row>
    <row r="2" spans="1:17" ht="15.75" customHeight="1">
      <c r="A2" s="26" t="s">
        <v>98</v>
      </c>
      <c r="J2" s="27"/>
    </row>
    <row r="3" spans="1:17" ht="15">
      <c r="A3" s="28" t="s">
        <v>99</v>
      </c>
      <c r="B3" s="29" t="str">
        <f>Master!L1</f>
        <v xml:space="preserve">ग्रामपंचायत :- </v>
      </c>
      <c r="D3" s="30" t="str">
        <f>Master!L2</f>
        <v xml:space="preserve">पंचायत समिती :-  </v>
      </c>
      <c r="H3" s="31" t="str">
        <f>Master!L3</f>
        <v>जिल्हा :- यवतमाळ</v>
      </c>
      <c r="J3" s="27"/>
    </row>
    <row r="4" spans="1:17">
      <c r="A4" s="32"/>
      <c r="J4" s="27"/>
    </row>
    <row r="5" spans="1:17">
      <c r="A5" s="32"/>
      <c r="J5" s="27"/>
    </row>
    <row r="6" spans="1:17" ht="15">
      <c r="A6" s="28" t="s">
        <v>100</v>
      </c>
      <c r="B6" s="33" t="str">
        <f>Master!L4</f>
        <v xml:space="preserve">समाविष्ट गाव :- </v>
      </c>
      <c r="J6" s="27"/>
    </row>
    <row r="7" spans="1:17">
      <c r="A7" s="32"/>
      <c r="J7" s="27"/>
    </row>
    <row r="8" spans="1:17" ht="17.25" customHeight="1">
      <c r="A8" s="34" t="s">
        <v>101</v>
      </c>
      <c r="J8" s="27"/>
    </row>
    <row r="9" spans="1:17" ht="18.75" customHeight="1">
      <c r="A9" s="35" t="s">
        <v>102</v>
      </c>
      <c r="J9" s="27"/>
    </row>
    <row r="10" spans="1:17">
      <c r="A10" s="32"/>
      <c r="J10" s="27"/>
    </row>
    <row r="11" spans="1:17">
      <c r="A11" s="32"/>
      <c r="J11" s="27"/>
    </row>
    <row r="12" spans="1:17" ht="21.75" customHeight="1" thickBot="1">
      <c r="A12" s="36" t="s">
        <v>103</v>
      </c>
      <c r="G12" s="37" t="s">
        <v>104</v>
      </c>
      <c r="J12" s="27"/>
      <c r="P12" s="38"/>
    </row>
    <row r="13" spans="1:17" s="1" customFormat="1" ht="37.5" customHeight="1" thickBot="1">
      <c r="A13" s="39" t="s">
        <v>105</v>
      </c>
      <c r="B13" s="40" t="s">
        <v>46</v>
      </c>
      <c r="C13" s="40" t="s">
        <v>106</v>
      </c>
      <c r="D13" s="41" t="s">
        <v>107</v>
      </c>
      <c r="E13" s="13"/>
      <c r="F13" s="13"/>
      <c r="G13" s="42" t="s">
        <v>105</v>
      </c>
      <c r="H13" s="43" t="s">
        <v>108</v>
      </c>
      <c r="I13" s="44" t="s">
        <v>109</v>
      </c>
      <c r="J13" s="45" t="s">
        <v>110</v>
      </c>
      <c r="M13"/>
      <c r="N13"/>
      <c r="O13"/>
      <c r="P13"/>
      <c r="Q13"/>
    </row>
    <row r="14" spans="1:17" ht="15" thickBot="1">
      <c r="A14" s="46">
        <v>1</v>
      </c>
      <c r="B14" s="47" t="s">
        <v>111</v>
      </c>
      <c r="C14" s="48" t="str">
        <f>Master!E2</f>
        <v>रु.०.४</v>
      </c>
      <c r="D14" s="115" t="str">
        <f>Master!E7</f>
        <v>रु.२.००</v>
      </c>
      <c r="G14" s="49">
        <v>1</v>
      </c>
      <c r="H14" s="50" t="s">
        <v>112</v>
      </c>
      <c r="I14" s="50" t="str">
        <f>Master!F2</f>
        <v>रु.५०</v>
      </c>
      <c r="J14" s="50" t="str">
        <f>I14</f>
        <v>रु.५०</v>
      </c>
    </row>
    <row r="15" spans="1:17" ht="15" thickBot="1">
      <c r="A15" s="51">
        <v>2</v>
      </c>
      <c r="B15" s="52" t="s">
        <v>113</v>
      </c>
      <c r="C15" s="48" t="str">
        <f>Master!E3</f>
        <v>रु.०.७</v>
      </c>
      <c r="D15" s="115" t="str">
        <f>D14</f>
        <v>रु.२.००</v>
      </c>
      <c r="G15" s="49">
        <v>2</v>
      </c>
      <c r="H15" s="50" t="s">
        <v>114</v>
      </c>
      <c r="I15" s="50" t="str">
        <f>Master!F3</f>
        <v>रु.५०</v>
      </c>
      <c r="J15" s="50" t="str">
        <f t="shared" ref="J15:J16" si="0">I15</f>
        <v>रु.५०</v>
      </c>
    </row>
    <row r="16" spans="1:17" ht="15" thickBot="1">
      <c r="A16" s="53">
        <v>3</v>
      </c>
      <c r="B16" s="54" t="s">
        <v>115</v>
      </c>
      <c r="C16" s="48" t="str">
        <f>Master!E4</f>
        <v>रु.०.८</v>
      </c>
      <c r="D16" s="115" t="str">
        <f>D14</f>
        <v>रु.२.००</v>
      </c>
      <c r="G16" s="49">
        <v>3</v>
      </c>
      <c r="H16" s="50" t="s">
        <v>116</v>
      </c>
      <c r="I16" s="50" t="str">
        <f>Master!F4</f>
        <v>रु.५०</v>
      </c>
      <c r="J16" s="50" t="str">
        <f t="shared" si="0"/>
        <v>रु.५०</v>
      </c>
    </row>
    <row r="17" spans="1:26" ht="15" thickBot="1">
      <c r="A17" s="53">
        <v>4</v>
      </c>
      <c r="B17" s="54" t="s">
        <v>117</v>
      </c>
      <c r="C17" s="48" t="str">
        <f>Master!E5</f>
        <v>रु.१.२</v>
      </c>
      <c r="D17" s="115" t="str">
        <f>D14</f>
        <v>रु.२.००</v>
      </c>
      <c r="J17" s="27"/>
    </row>
    <row r="18" spans="1:26" ht="15" thickBot="1">
      <c r="A18" s="55">
        <v>5</v>
      </c>
      <c r="B18" s="1" t="s">
        <v>118</v>
      </c>
      <c r="C18" s="56"/>
      <c r="D18" s="57"/>
      <c r="J18" s="27"/>
    </row>
    <row r="19" spans="1:26" ht="15.75" thickBot="1">
      <c r="A19" s="51">
        <v>6</v>
      </c>
      <c r="B19" s="52" t="s">
        <v>119</v>
      </c>
      <c r="C19" s="58"/>
      <c r="D19" s="57"/>
      <c r="G19" s="59" t="s">
        <v>120</v>
      </c>
      <c r="J19" s="27"/>
    </row>
    <row r="20" spans="1:26" ht="15" thickBot="1">
      <c r="A20" s="60">
        <v>7</v>
      </c>
      <c r="B20" s="61" t="s">
        <v>121</v>
      </c>
      <c r="C20" s="62"/>
      <c r="D20" s="56"/>
      <c r="G20" s="42" t="s">
        <v>122</v>
      </c>
      <c r="H20" s="42" t="s">
        <v>123</v>
      </c>
      <c r="I20" s="42" t="s">
        <v>124</v>
      </c>
      <c r="J20" s="27"/>
    </row>
    <row r="21" spans="1:26" ht="15" thickBot="1">
      <c r="A21" s="32"/>
      <c r="G21" s="63">
        <v>1</v>
      </c>
      <c r="H21" s="42" t="s">
        <v>125</v>
      </c>
      <c r="I21" s="63"/>
      <c r="J21" s="27"/>
    </row>
    <row r="22" spans="1:26" ht="15.75" thickBot="1">
      <c r="A22" s="64" t="s">
        <v>126</v>
      </c>
      <c r="G22" s="63">
        <v>2</v>
      </c>
      <c r="H22" s="42" t="s">
        <v>127</v>
      </c>
      <c r="I22" s="63"/>
      <c r="J22" s="27"/>
    </row>
    <row r="23" spans="1:26" ht="15" thickBot="1">
      <c r="A23" s="65" t="s">
        <v>128</v>
      </c>
      <c r="B23" s="65"/>
      <c r="J23" s="27"/>
    </row>
    <row r="24" spans="1:26" ht="15" thickBot="1">
      <c r="A24" s="66" t="str">
        <f>D14</f>
        <v>रु.२.००</v>
      </c>
      <c r="B24" s="65"/>
      <c r="D24" s="67"/>
      <c r="J24" s="27"/>
    </row>
    <row r="25" spans="1:26">
      <c r="A25" s="32"/>
      <c r="J25" s="27"/>
    </row>
    <row r="26" spans="1:26">
      <c r="A26" s="32"/>
      <c r="J26" s="27"/>
    </row>
    <row r="27" spans="1:26" ht="27" customHeight="1">
      <c r="A27" s="68"/>
      <c r="B27" s="69"/>
      <c r="C27" s="70"/>
      <c r="D27" s="71"/>
      <c r="E27" s="70"/>
      <c r="F27" s="70"/>
      <c r="H27" s="70"/>
      <c r="I27" s="70"/>
      <c r="J27" s="72"/>
      <c r="K27" s="73"/>
      <c r="L27" s="73"/>
      <c r="N27" s="73"/>
      <c r="O27" s="73"/>
      <c r="Q27" s="73"/>
      <c r="R27" s="73"/>
      <c r="T27" s="73"/>
      <c r="U27" s="73"/>
      <c r="V27" s="73"/>
      <c r="W27" s="73"/>
      <c r="Y27" s="73"/>
      <c r="Z27" s="73"/>
    </row>
    <row r="28" spans="1:26">
      <c r="A28" s="397" t="s">
        <v>129</v>
      </c>
      <c r="B28" s="398"/>
      <c r="C28" s="74" t="s">
        <v>130</v>
      </c>
      <c r="D28" s="74" t="s">
        <v>131</v>
      </c>
      <c r="E28" s="398" t="s">
        <v>132</v>
      </c>
      <c r="F28" s="398"/>
      <c r="G28" s="75"/>
      <c r="H28" s="75" t="s">
        <v>133</v>
      </c>
      <c r="I28" s="398" t="s">
        <v>134</v>
      </c>
      <c r="J28" s="399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ht="15" thickBot="1">
      <c r="A29" s="76"/>
      <c r="B29" s="77"/>
      <c r="C29" s="77"/>
      <c r="D29" s="77"/>
      <c r="E29" s="77"/>
      <c r="F29" s="77"/>
      <c r="G29" s="77"/>
      <c r="H29" s="77"/>
      <c r="I29" s="77"/>
      <c r="J29" s="78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ht="15" thickBot="1">
      <c r="A30" s="79"/>
      <c r="B30" s="80"/>
      <c r="C30" s="80"/>
      <c r="D30" s="80"/>
      <c r="E30" s="80"/>
      <c r="F30" s="80"/>
      <c r="G30" s="80"/>
      <c r="H30" s="80"/>
      <c r="I30" s="80"/>
      <c r="J30" s="81"/>
    </row>
    <row r="31" spans="1:26">
      <c r="A31" s="18"/>
    </row>
  </sheetData>
  <mergeCells count="3">
    <mergeCell ref="A28:B28"/>
    <mergeCell ref="E28:F28"/>
    <mergeCell ref="I28:J28"/>
  </mergeCells>
  <pageMargins left="0.7" right="0.7" top="0.75" bottom="0.75" header="0.3" footer="0.3"/>
  <pageSetup paperSize="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24"/>
  <sheetViews>
    <sheetView view="pageLayout" zoomScale="85" zoomScaleNormal="98" zoomScalePageLayoutView="85" workbookViewId="0">
      <selection activeCell="U13" sqref="U13:U14"/>
    </sheetView>
  </sheetViews>
  <sheetFormatPr defaultRowHeight="14.25"/>
  <cols>
    <col min="1" max="1" width="5.75" customWidth="1"/>
    <col min="5" max="5" width="8.25" customWidth="1"/>
    <col min="6" max="6" width="10.25" customWidth="1"/>
    <col min="9" max="9" width="9.875" customWidth="1"/>
    <col min="10" max="10" width="6.25" customWidth="1"/>
    <col min="11" max="11" width="6" customWidth="1"/>
    <col min="18" max="18" width="9.875" bestFit="1" customWidth="1"/>
  </cols>
  <sheetData>
    <row r="1" spans="1:29" ht="18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4"/>
    </row>
    <row r="2" spans="1:29" s="91" customFormat="1" ht="18">
      <c r="A2" s="85"/>
      <c r="B2" s="86" t="str">
        <f>Master!L1</f>
        <v xml:space="preserve">ग्रामपंचायत :- </v>
      </c>
      <c r="C2" s="87"/>
      <c r="D2" s="87"/>
      <c r="E2" s="87"/>
      <c r="F2" s="87"/>
      <c r="G2" s="87"/>
      <c r="H2" s="88" t="str">
        <f>Master!L2</f>
        <v xml:space="preserve">पंचायत समिती :-  </v>
      </c>
      <c r="I2" s="87"/>
      <c r="J2" s="87"/>
      <c r="K2" s="87"/>
      <c r="L2" s="87"/>
      <c r="M2" s="87"/>
      <c r="N2" s="87"/>
      <c r="O2" s="89" t="str">
        <f>Master!L3</f>
        <v>जिल्हा :- यवतमाळ</v>
      </c>
      <c r="P2" s="87"/>
      <c r="Q2" s="90"/>
      <c r="R2"/>
      <c r="S2"/>
      <c r="T2"/>
      <c r="U2"/>
      <c r="W2" s="92"/>
      <c r="Z2" s="93"/>
    </row>
    <row r="3" spans="1:29" ht="18">
      <c r="A3" s="85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90"/>
      <c r="W3" s="92"/>
      <c r="Z3" s="93"/>
    </row>
    <row r="4" spans="1:29" ht="15.75">
      <c r="A4" s="18"/>
      <c r="B4" s="94" t="str">
        <f>Master!L4</f>
        <v xml:space="preserve">समाविष्ट गाव :- </v>
      </c>
      <c r="Q4" s="19"/>
      <c r="W4" s="92"/>
      <c r="Z4" s="93"/>
    </row>
    <row r="5" spans="1:29" ht="15">
      <c r="A5" s="18"/>
      <c r="Q5" s="19"/>
      <c r="W5" s="92"/>
      <c r="Z5" s="93"/>
    </row>
    <row r="6" spans="1:29" ht="15">
      <c r="A6" s="18"/>
      <c r="Q6" s="19"/>
      <c r="W6" s="92"/>
      <c r="Z6" s="93"/>
    </row>
    <row r="7" spans="1:29" s="87" customFormat="1" ht="25.5" customHeight="1">
      <c r="A7" s="85"/>
      <c r="B7" s="430" t="s">
        <v>135</v>
      </c>
      <c r="C7" s="430"/>
      <c r="D7" s="430"/>
      <c r="E7" s="430"/>
      <c r="F7" s="430"/>
      <c r="G7" s="430"/>
      <c r="H7" s="430"/>
      <c r="I7" s="430"/>
      <c r="J7" s="430"/>
      <c r="K7" s="430"/>
      <c r="L7" s="430"/>
      <c r="M7" s="430"/>
      <c r="N7" s="430"/>
      <c r="O7" s="430"/>
      <c r="P7" s="430"/>
      <c r="Q7" s="90"/>
      <c r="R7"/>
      <c r="S7"/>
      <c r="T7"/>
      <c r="U7"/>
    </row>
    <row r="8" spans="1:29" ht="21" customHeight="1">
      <c r="A8" s="18"/>
      <c r="B8" s="431" t="s">
        <v>136</v>
      </c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19"/>
    </row>
    <row r="9" spans="1:29" ht="15" thickBot="1">
      <c r="A9" s="18"/>
      <c r="Q9" s="19"/>
    </row>
    <row r="10" spans="1:29" s="100" customFormat="1" ht="51" customHeight="1" thickBot="1">
      <c r="A10" s="95"/>
      <c r="B10" s="96" t="s">
        <v>105</v>
      </c>
      <c r="C10" s="432" t="s">
        <v>137</v>
      </c>
      <c r="D10" s="433"/>
      <c r="E10" s="433"/>
      <c r="F10" s="434"/>
      <c r="G10" s="435" t="s">
        <v>138</v>
      </c>
      <c r="H10" s="433"/>
      <c r="I10" s="434"/>
      <c r="J10" s="97"/>
      <c r="K10" s="98" t="s">
        <v>105</v>
      </c>
      <c r="L10" s="436" t="s">
        <v>139</v>
      </c>
      <c r="M10" s="437"/>
      <c r="N10" s="438"/>
      <c r="O10" s="436" t="s">
        <v>140</v>
      </c>
      <c r="P10" s="438"/>
      <c r="Q10" s="99"/>
      <c r="R10" s="236">
        <v>5692</v>
      </c>
      <c r="S10"/>
      <c r="T10"/>
      <c r="U10"/>
    </row>
    <row r="11" spans="1:29" ht="24" customHeight="1" thickBot="1">
      <c r="A11" s="18"/>
      <c r="B11" s="101">
        <v>1</v>
      </c>
      <c r="C11" s="403" t="s">
        <v>141</v>
      </c>
      <c r="D11" s="404"/>
      <c r="E11" s="404"/>
      <c r="F11" s="405"/>
      <c r="G11" s="406">
        <f>Master!B2</f>
        <v>5976</v>
      </c>
      <c r="H11" s="407"/>
      <c r="I11" s="408"/>
      <c r="J11" s="102"/>
      <c r="K11" s="421">
        <v>1</v>
      </c>
      <c r="L11" s="423" t="s">
        <v>62</v>
      </c>
      <c r="M11" s="424"/>
      <c r="N11" s="425"/>
      <c r="O11" s="426"/>
      <c r="P11" s="427"/>
      <c r="Q11" s="103"/>
      <c r="R11" s="236">
        <v>8870</v>
      </c>
    </row>
    <row r="12" spans="1:29" ht="24" customHeight="1" thickBot="1">
      <c r="A12" s="18"/>
      <c r="B12" s="101">
        <v>2</v>
      </c>
      <c r="C12" s="403" t="s">
        <v>142</v>
      </c>
      <c r="D12" s="404"/>
      <c r="E12" s="404"/>
      <c r="F12" s="405"/>
      <c r="G12" s="406">
        <f>Master!B3</f>
        <v>9314</v>
      </c>
      <c r="H12" s="407"/>
      <c r="I12" s="408"/>
      <c r="J12" s="102"/>
      <c r="K12" s="422"/>
      <c r="L12" s="409"/>
      <c r="M12" s="410"/>
      <c r="N12" s="411"/>
      <c r="O12" s="428"/>
      <c r="P12" s="429"/>
      <c r="Q12" s="103"/>
      <c r="R12" s="236">
        <v>13195</v>
      </c>
      <c r="AC12">
        <v>5692</v>
      </c>
    </row>
    <row r="13" spans="1:29" ht="24" customHeight="1" thickBot="1">
      <c r="A13" s="18"/>
      <c r="B13" s="101">
        <v>3</v>
      </c>
      <c r="C13" s="403" t="s">
        <v>115</v>
      </c>
      <c r="D13" s="404"/>
      <c r="E13" s="404"/>
      <c r="F13" s="405"/>
      <c r="G13" s="406">
        <f>Master!B4</f>
        <v>13195</v>
      </c>
      <c r="H13" s="407"/>
      <c r="I13" s="408"/>
      <c r="J13" s="102"/>
      <c r="K13" s="101">
        <v>3</v>
      </c>
      <c r="L13" s="403" t="s">
        <v>17</v>
      </c>
      <c r="M13" s="404"/>
      <c r="N13" s="404"/>
      <c r="O13" s="401"/>
      <c r="P13" s="402"/>
      <c r="Q13" s="103"/>
      <c r="R13" s="236">
        <v>16262</v>
      </c>
      <c r="AC13">
        <v>8870</v>
      </c>
    </row>
    <row r="14" spans="1:29" ht="24" customHeight="1" thickBot="1">
      <c r="A14" s="18"/>
      <c r="B14" s="101">
        <v>4</v>
      </c>
      <c r="C14" s="403" t="s">
        <v>117</v>
      </c>
      <c r="D14" s="404"/>
      <c r="E14" s="404"/>
      <c r="F14" s="405"/>
      <c r="G14" s="406">
        <f>Master!B5</f>
        <v>16262</v>
      </c>
      <c r="H14" s="407"/>
      <c r="I14" s="408"/>
      <c r="J14" s="102"/>
      <c r="K14" s="101">
        <v>4</v>
      </c>
      <c r="L14" s="403" t="s">
        <v>143</v>
      </c>
      <c r="M14" s="404"/>
      <c r="N14" s="404"/>
      <c r="O14" s="401"/>
      <c r="P14" s="402"/>
      <c r="Q14" s="103"/>
      <c r="R14" s="236">
        <v>16262</v>
      </c>
      <c r="AC14">
        <v>13195</v>
      </c>
    </row>
    <row r="15" spans="1:29" ht="24" customHeight="1" thickBot="1">
      <c r="A15" s="18"/>
      <c r="B15" s="101">
        <v>5</v>
      </c>
      <c r="C15" s="403" t="s">
        <v>144</v>
      </c>
      <c r="D15" s="404"/>
      <c r="E15" s="404"/>
      <c r="F15" s="405"/>
      <c r="G15" s="415"/>
      <c r="H15" s="416"/>
      <c r="I15" s="417"/>
      <c r="J15" s="102"/>
      <c r="K15" s="101">
        <v>5</v>
      </c>
      <c r="L15" s="403" t="s">
        <v>145</v>
      </c>
      <c r="M15" s="404"/>
      <c r="N15" s="405"/>
      <c r="O15" s="104"/>
      <c r="P15" s="105"/>
      <c r="Q15" s="103"/>
      <c r="R15" s="236"/>
      <c r="AC15">
        <v>16262</v>
      </c>
    </row>
    <row r="16" spans="1:29" ht="24" customHeight="1" thickBot="1">
      <c r="A16" s="18"/>
      <c r="B16" s="101">
        <v>6</v>
      </c>
      <c r="C16" s="403" t="s">
        <v>146</v>
      </c>
      <c r="D16" s="404"/>
      <c r="E16" s="404"/>
      <c r="F16" s="405"/>
      <c r="G16" s="418"/>
      <c r="H16" s="419"/>
      <c r="I16" s="420"/>
      <c r="J16" s="102"/>
      <c r="K16" s="101">
        <v>6</v>
      </c>
      <c r="L16" s="403" t="s">
        <v>147</v>
      </c>
      <c r="M16" s="404"/>
      <c r="N16" s="405"/>
      <c r="O16" s="401"/>
      <c r="P16" s="402"/>
      <c r="Q16" s="103"/>
      <c r="AC16">
        <v>15488</v>
      </c>
    </row>
    <row r="17" spans="1:21" ht="24" customHeight="1" thickBot="1">
      <c r="A17" s="18"/>
      <c r="B17" s="101">
        <v>7</v>
      </c>
      <c r="C17" s="403" t="s">
        <v>94</v>
      </c>
      <c r="D17" s="404"/>
      <c r="E17" s="404"/>
      <c r="F17" s="405"/>
      <c r="G17" s="406">
        <f>Master!B7</f>
        <v>650</v>
      </c>
      <c r="H17" s="407"/>
      <c r="I17" s="408"/>
      <c r="J17" s="102"/>
      <c r="K17" s="106">
        <v>7</v>
      </c>
      <c r="L17" s="409" t="s">
        <v>148</v>
      </c>
      <c r="M17" s="410"/>
      <c r="N17" s="411"/>
      <c r="O17" s="412"/>
      <c r="P17" s="411"/>
      <c r="Q17" s="103"/>
    </row>
    <row r="18" spans="1:21">
      <c r="A18" s="18"/>
      <c r="Q18" s="19"/>
    </row>
    <row r="19" spans="1:21">
      <c r="A19" s="18"/>
      <c r="Q19" s="19"/>
    </row>
    <row r="20" spans="1:21">
      <c r="A20" s="18"/>
      <c r="Q20" s="19"/>
    </row>
    <row r="21" spans="1:21" s="1" customFormat="1" ht="18.75" customHeight="1">
      <c r="A21" s="413" t="s">
        <v>149</v>
      </c>
      <c r="B21" s="414"/>
      <c r="C21" s="107" t="s">
        <v>150</v>
      </c>
      <c r="D21" s="108"/>
      <c r="E21" s="109" t="s">
        <v>130</v>
      </c>
      <c r="F21" s="108"/>
      <c r="G21" s="110" t="s">
        <v>131</v>
      </c>
      <c r="H21" s="108"/>
      <c r="I21" s="110" t="s">
        <v>132</v>
      </c>
      <c r="J21" s="108"/>
      <c r="K21" s="111" t="s">
        <v>133</v>
      </c>
      <c r="L21" s="108"/>
      <c r="M21" s="108"/>
      <c r="N21" s="108"/>
      <c r="O21" s="112" t="s">
        <v>134</v>
      </c>
      <c r="P21" s="113"/>
      <c r="Q21" s="114"/>
      <c r="R21"/>
      <c r="S21"/>
      <c r="T21"/>
      <c r="U21"/>
    </row>
    <row r="22" spans="1:21" ht="15.6" customHeight="1">
      <c r="A22" s="392"/>
      <c r="B22" s="400"/>
      <c r="Q22" s="19"/>
    </row>
    <row r="23" spans="1:21" hidden="1">
      <c r="A23" s="18"/>
      <c r="Q23" s="19"/>
    </row>
    <row r="24" spans="1:21" ht="7.9" customHeight="1" thickBot="1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2"/>
    </row>
  </sheetData>
  <mergeCells count="34">
    <mergeCell ref="B7:P7"/>
    <mergeCell ref="B8:P8"/>
    <mergeCell ref="C10:F10"/>
    <mergeCell ref="G10:I10"/>
    <mergeCell ref="L10:N10"/>
    <mergeCell ref="O10:P10"/>
    <mergeCell ref="C11:F11"/>
    <mergeCell ref="G11:I11"/>
    <mergeCell ref="K11:K12"/>
    <mergeCell ref="L11:N12"/>
    <mergeCell ref="O11:P12"/>
    <mergeCell ref="C12:F12"/>
    <mergeCell ref="G12:I12"/>
    <mergeCell ref="C13:F13"/>
    <mergeCell ref="G13:I13"/>
    <mergeCell ref="L13:N13"/>
    <mergeCell ref="O13:P13"/>
    <mergeCell ref="C14:F14"/>
    <mergeCell ref="G14:I14"/>
    <mergeCell ref="L14:N14"/>
    <mergeCell ref="O14:P14"/>
    <mergeCell ref="C15:F15"/>
    <mergeCell ref="G15:I15"/>
    <mergeCell ref="L15:N15"/>
    <mergeCell ref="C16:F16"/>
    <mergeCell ref="G16:I16"/>
    <mergeCell ref="L16:N16"/>
    <mergeCell ref="A22:B22"/>
    <mergeCell ref="O16:P16"/>
    <mergeCell ref="C17:F17"/>
    <mergeCell ref="G17:I17"/>
    <mergeCell ref="L17:N17"/>
    <mergeCell ref="O17:P17"/>
    <mergeCell ref="A21:B21"/>
  </mergeCells>
  <printOptions horizontalCentered="1" verticalCentered="1"/>
  <pageMargins left="0.9055118110236221" right="0.70866141732283472" top="0.74803149606299213" bottom="0.74803149606299213" header="0.31496062992125984" footer="0.31496062992125984"/>
  <pageSetup paperSize="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Form</vt:lpstr>
      <vt:lpstr>Datasheet</vt:lpstr>
      <vt:lpstr>TAX Log</vt:lpstr>
      <vt:lpstr>QR</vt:lpstr>
      <vt:lpstr>Master</vt:lpstr>
      <vt:lpstr>Tax Type</vt:lpstr>
      <vt:lpstr>Tax Type 2</vt:lpstr>
      <vt:lpstr>NAME</vt:lpstr>
      <vt:lpstr>Datasheet!Print_Area</vt:lpstr>
      <vt:lpstr>Form!Print_Area</vt:lpstr>
      <vt:lpstr>'Tax Type'!Print_Area</vt:lpstr>
      <vt:lpstr>'Tax Type 2'!Print_Area</vt:lpstr>
      <vt:lpstr>Datasheet!Print_Titles</vt:lpstr>
      <vt:lpstr>SR</vt:lpstr>
      <vt:lpstr>YOGESH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yogesh pachkhande</dc:creator>
  <cp:lastModifiedBy>Yogesh pachkhande</cp:lastModifiedBy>
  <cp:lastPrinted>2026-07-06T10:43:06Z</cp:lastPrinted>
  <dcterms:created xsi:type="dcterms:W3CDTF">2025-06-21T02:07:31Z</dcterms:created>
  <dcterms:modified xsi:type="dcterms:W3CDTF">2026-07-06T11:12:21Z</dcterms:modified>
</cp:coreProperties>
</file>